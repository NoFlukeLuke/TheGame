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 Trick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'Epic Tricks'!$A$1:$R$75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sz val="11"/>
    </font>
  </fonts>
  <fills count="5">
    <fill>
      <patternFill/>
    </fill>
    <fill>
      <patternFill patternType="gray125"/>
    </fill>
    <fill>
      <patternFill patternType="solid">
        <fgColor rgb="002B2440"/>
      </patternFill>
    </fill>
    <fill>
      <patternFill patternType="solid">
        <fgColor rgb="00FFF4C2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10" customWidth="1" min="4" max="4"/>
    <col width="16" customWidth="1" min="5" max="5"/>
    <col width="56" customWidth="1" min="6" max="6"/>
    <col width="18" customWidth="1" min="7" max="7"/>
    <col width="8" customWidth="1" min="8" max="8"/>
    <col width="11" customWidth="1" min="9" max="9"/>
    <col width="9" customWidth="1" min="10" max="10"/>
    <col width="10" customWidth="1" min="11" max="11"/>
    <col width="10" customWidth="1" min="12" max="12"/>
    <col width="8" customWidth="1" min="13" max="13"/>
    <col width="30" customWidth="1" min="14" max="14"/>
    <col width="10" customWidth="1" min="15" max="15"/>
    <col width="40" customWidth="1" min="16" max="16"/>
    <col width="50" customWidth="1" min="17" max="17"/>
    <col width="22" customWidth="1" min="18" max="18"/>
  </cols>
  <sheetData>
    <row r="1" ht="30" customHeight="1">
      <c r="A1" s="1" t="inlineStr">
        <is>
          <t>#</t>
        </is>
      </c>
      <c r="B1" s="1" t="inlineStr">
        <is>
          <t>Trick</t>
        </is>
      </c>
      <c r="C1" s="1" t="inlineStr">
        <is>
          <t>id</t>
        </is>
      </c>
      <c r="D1" s="1" t="inlineStr">
        <is>
          <t>Rarity</t>
        </is>
      </c>
      <c r="E1" s="1" t="inlineStr">
        <is>
          <t>Category</t>
        </is>
      </c>
      <c r="F1" s="1" t="inlineStr">
        <is>
          <t>What it does (live text)</t>
        </is>
      </c>
      <c r="G1" s="1" t="inlineStr">
        <is>
          <t>Number</t>
        </is>
      </c>
      <c r="H1" s="1" t="inlineStr">
        <is>
          <t>Now</t>
        </is>
      </c>
      <c r="I1" s="1" t="inlineStr">
        <is>
          <t>NEW VALUE</t>
        </is>
      </c>
      <c r="J1" s="1" t="inlineStr">
        <is>
          <t>x factor</t>
        </is>
      </c>
      <c r="K1" s="1" t="inlineStr">
        <is>
          <t>Share of score</t>
        </is>
      </c>
      <c r="L1" s="1" t="inlineStr">
        <is>
          <t>x on a hand</t>
        </is>
      </c>
      <c r="M1" s="1" t="inlineStr">
        <is>
          <t>Fires %</t>
        </is>
      </c>
      <c r="N1" s="1" t="inlineStr">
        <is>
          <t>Audit note</t>
        </is>
      </c>
      <c r="O1" s="1" t="inlineStr">
        <is>
          <t>Verdict</t>
        </is>
      </c>
      <c r="P1" s="1" t="inlineStr">
        <is>
          <t>Notes</t>
        </is>
      </c>
      <c r="Q1" s="1" t="inlineStr">
        <is>
          <t>Template</t>
        </is>
      </c>
      <c r="R1" s="1" t="inlineStr">
        <is>
          <t>Tags</t>
        </is>
      </c>
    </row>
    <row r="2">
      <c r="A2" s="2" t="n">
        <v>1</v>
      </c>
      <c r="B2" s="2" t="inlineStr">
        <is>
          <t>Tide Table</t>
        </is>
      </c>
      <c r="C2" s="2" t="inlineStr">
        <is>
          <t>tide_table</t>
        </is>
      </c>
      <c r="D2" s="2" t="inlineStr">
        <is>
          <t>epic</t>
        </is>
      </c>
      <c r="E2" s="2" t="inlineStr">
        <is>
          <t>Runs</t>
        </is>
      </c>
      <c r="F2" s="3" t="inlineStr">
        <is>
          <t>Runs score ×1 mult, +×0.25 per Run scored this round</t>
        </is>
      </c>
      <c r="G2" s="2" t="inlineStr">
        <is>
          <t>mult_step</t>
        </is>
      </c>
      <c r="H2" s="2" t="n">
        <v>0.25</v>
      </c>
      <c r="I2" s="4" t="n"/>
      <c r="J2" s="5">
        <f>IF(I2="","",I2/H2)</f>
        <v/>
      </c>
      <c r="K2" s="5" t="n">
        <v>0.42</v>
      </c>
      <c r="L2" s="5" t="n">
        <v>1.15</v>
      </c>
      <c r="M2" s="6" t="n">
        <v>38</v>
      </c>
      <c r="N2" s="3" t="inlineStr">
        <is>
          <t>Normal</t>
        </is>
      </c>
      <c r="O2" s="4" t="inlineStr"/>
      <c r="P2" s="7" t="inlineStr"/>
      <c r="Q2" s="3" t="inlineStr"/>
      <c r="R2" s="2" t="inlineStr"/>
    </row>
    <row r="3">
      <c r="A3" s="2" t="n">
        <v>2</v>
      </c>
      <c r="B3" s="2" t="inlineStr">
        <is>
          <t>Undertow</t>
        </is>
      </c>
      <c r="C3" s="2" t="inlineStr">
        <is>
          <t>undertow</t>
        </is>
      </c>
      <c r="D3" s="2" t="inlineStr">
        <is>
          <t>epic</t>
        </is>
      </c>
      <c r="E3" s="2" t="inlineStr">
        <is>
          <t>Runs</t>
        </is>
      </c>
      <c r="F3" s="3" t="inlineStr">
        <is>
          <t>Runs score ×1.5 pips, +×0.5 per card beyond 3</t>
        </is>
      </c>
      <c r="G3" s="2" t="inlineStr">
        <is>
          <t>pip_mult_base</t>
        </is>
      </c>
      <c r="H3" s="2" t="n">
        <v>1.5</v>
      </c>
      <c r="I3" s="4" t="n"/>
      <c r="J3" s="5">
        <f>IF(I3="","",I3/H3)</f>
        <v/>
      </c>
      <c r="K3" s="5" t="n">
        <v>0.83</v>
      </c>
      <c r="L3" s="5" t="n">
        <v>1.3</v>
      </c>
      <c r="M3" s="6" t="n">
        <v>38</v>
      </c>
      <c r="N3" s="3" t="inlineStr">
        <is>
          <t>Outlier</t>
        </is>
      </c>
      <c r="O3" s="4" t="inlineStr"/>
      <c r="P3" s="7" t="inlineStr"/>
      <c r="Q3" s="3" t="inlineStr"/>
      <c r="R3" s="2" t="inlineStr"/>
    </row>
    <row r="4">
      <c r="A4" s="8" t="n"/>
      <c r="B4" s="8" t="inlineStr"/>
      <c r="C4" s="8" t="inlineStr"/>
      <c r="D4" s="8" t="inlineStr"/>
      <c r="E4" s="8" t="inlineStr"/>
      <c r="F4" s="9" t="inlineStr"/>
      <c r="G4" s="8" t="inlineStr">
        <is>
          <t>pip_mult_step</t>
        </is>
      </c>
      <c r="H4" s="8" t="n">
        <v>0.5</v>
      </c>
      <c r="I4" s="4" t="n"/>
      <c r="J4" s="10">
        <f>IF(I4="","",I4/H4)</f>
        <v/>
      </c>
      <c r="K4" s="10" t="n"/>
      <c r="L4" s="10" t="n"/>
      <c r="M4" s="8" t="n"/>
      <c r="N4" s="9" t="inlineStr"/>
      <c r="O4" s="4" t="inlineStr"/>
      <c r="P4" s="7" t="inlineStr"/>
      <c r="Q4" s="9" t="inlineStr"/>
      <c r="R4" s="8" t="inlineStr"/>
    </row>
    <row r="5">
      <c r="A5" s="2" t="n">
        <v>3</v>
      </c>
      <c r="B5" s="2" t="inlineStr">
        <is>
          <t>High Water</t>
        </is>
      </c>
      <c r="C5" s="2" t="inlineStr">
        <is>
          <t>high_water</t>
        </is>
      </c>
      <c r="D5" s="2" t="inlineStr">
        <is>
          <t>epic</t>
        </is>
      </c>
      <c r="E5" s="2" t="inlineStr">
        <is>
          <t>Runs</t>
        </is>
      </c>
      <c r="F5" s="3" t="inlineStr">
        <is>
          <t>Runs pause the clock for 1s for each Run played this round</t>
        </is>
      </c>
      <c r="G5" s="2" t="inlineStr">
        <is>
          <t>pause_per_run</t>
        </is>
      </c>
      <c r="H5" s="2" t="n">
        <v>1</v>
      </c>
      <c r="I5" s="4" t="n"/>
      <c r="J5" s="5">
        <f>IF(I5="","",I5/H5)</f>
        <v/>
      </c>
      <c r="K5" s="5" t="n"/>
      <c r="L5" s="5" t="n">
        <v>1</v>
      </c>
      <c r="M5" s="6" t="n">
        <v>0</v>
      </c>
      <c r="N5" s="3" t="inlineStr">
        <is>
          <t>pays in Time</t>
        </is>
      </c>
      <c r="O5" s="4" t="inlineStr"/>
      <c r="P5" s="7" t="inlineStr"/>
      <c r="Q5" s="3" t="inlineStr">
        <is>
          <t>Runs pause the clock for {pause_per_run}s for each Run played this round</t>
        </is>
      </c>
      <c r="R5" s="2" t="inlineStr"/>
    </row>
    <row r="6">
      <c r="A6" s="2" t="n">
        <v>4</v>
      </c>
      <c r="B6" s="2" t="inlineStr">
        <is>
          <t>Rerun</t>
        </is>
      </c>
      <c r="C6" s="2" t="inlineStr">
        <is>
          <t>rerun</t>
        </is>
      </c>
      <c r="D6" s="2" t="inlineStr">
        <is>
          <t>epic</t>
        </is>
      </c>
      <c r="E6" s="2" t="inlineStr">
        <is>
          <t>Streaks</t>
        </is>
      </c>
      <c r="F6" s="3" t="inlineStr">
        <is>
          <t>×1.2 pips each time a card is replayed</t>
        </is>
      </c>
      <c r="G6" s="2" t="inlineStr">
        <is>
          <t>pip_mult</t>
        </is>
      </c>
      <c r="H6" s="2" t="n">
        <v>1.2</v>
      </c>
      <c r="I6" s="4" t="n"/>
      <c r="J6" s="5">
        <f>IF(I6="","",I6/H6)</f>
        <v/>
      </c>
      <c r="K6" s="5" t="n">
        <v>0.04</v>
      </c>
      <c r="L6" s="5" t="n">
        <v>1.01</v>
      </c>
      <c r="M6" s="6" t="n">
        <v>4</v>
      </c>
      <c r="N6" s="3" t="inlineStr">
        <is>
          <t>Low</t>
        </is>
      </c>
      <c r="O6" s="4" t="inlineStr"/>
      <c r="P6" s="7" t="inlineStr"/>
      <c r="Q6" s="3" t="inlineStr"/>
      <c r="R6" s="2" t="inlineStr"/>
    </row>
    <row r="7">
      <c r="A7" s="2" t="n">
        <v>5</v>
      </c>
      <c r="B7" s="2" t="inlineStr">
        <is>
          <t>Chorus</t>
        </is>
      </c>
      <c r="C7" s="2" t="inlineStr">
        <is>
          <t>chorus</t>
        </is>
      </c>
      <c r="D7" s="2" t="inlineStr">
        <is>
          <t>epic</t>
        </is>
      </c>
      <c r="E7" s="2" t="inlineStr">
        <is>
          <t>Streaks</t>
        </is>
      </c>
      <c r="F7" s="3" t="inlineStr">
        <is>
          <t>×1.75 mult each time a card is replayed</t>
        </is>
      </c>
      <c r="G7" s="2" t="inlineStr">
        <is>
          <t>mult_mult</t>
        </is>
      </c>
      <c r="H7" s="2" t="n">
        <v>1.75</v>
      </c>
      <c r="I7" s="4" t="n"/>
      <c r="J7" s="5">
        <f>IF(I7="","",I7/H7)</f>
        <v/>
      </c>
      <c r="K7" s="5" t="n">
        <v>0.24</v>
      </c>
      <c r="L7" s="5" t="n">
        <v>1.09</v>
      </c>
      <c r="M7" s="6" t="n">
        <v>9</v>
      </c>
      <c r="N7" s="3" t="inlineStr">
        <is>
          <t>High</t>
        </is>
      </c>
      <c r="O7" s="4" t="inlineStr"/>
      <c r="P7" s="7" t="inlineStr"/>
      <c r="Q7" s="3" t="inlineStr"/>
      <c r="R7" s="2" t="inlineStr"/>
    </row>
    <row r="8">
      <c r="A8" s="2" t="n">
        <v>6</v>
      </c>
      <c r="B8" s="2" t="inlineStr">
        <is>
          <t>Portfolio</t>
        </is>
      </c>
      <c r="C8" s="2" t="inlineStr">
        <is>
          <t>portfolio</t>
        </is>
      </c>
      <c r="D8" s="2" t="inlineStr">
        <is>
          <t>epic</t>
        </is>
      </c>
      <c r="E8" s="2" t="inlineStr">
        <is>
          <t>Accumulating</t>
        </is>
      </c>
      <c r="F8" s="3" t="inlineStr">
        <is>
          <t>Score ×1 mult, +×0.15 for every card on the grid with a buff</t>
        </is>
      </c>
      <c r="G8" s="2" t="inlineStr">
        <is>
          <t>mult_mult_per_card</t>
        </is>
      </c>
      <c r="H8" s="2" t="n">
        <v>0.15</v>
      </c>
      <c r="I8" s="4" t="n"/>
      <c r="J8" s="5">
        <f>IF(I8="","",I8/H8)</f>
        <v/>
      </c>
      <c r="K8" s="5" t="n">
        <v>1.08</v>
      </c>
      <c r="L8" s="5" t="n">
        <v>1.39</v>
      </c>
      <c r="M8" s="6" t="n">
        <v>100</v>
      </c>
      <c r="N8" s="3" t="inlineStr">
        <is>
          <t>Normal</t>
        </is>
      </c>
      <c r="O8" s="4" t="inlineStr"/>
      <c r="P8" s="7" t="inlineStr"/>
      <c r="Q8" s="3" t="inlineStr"/>
      <c r="R8" s="2" t="inlineStr"/>
    </row>
    <row r="9">
      <c r="A9" s="2" t="n">
        <v>7</v>
      </c>
      <c r="B9" s="2" t="inlineStr">
        <is>
          <t>Overclock</t>
        </is>
      </c>
      <c r="C9" s="2" t="inlineStr">
        <is>
          <t>overclock</t>
        </is>
      </c>
      <c r="D9" s="2" t="inlineStr">
        <is>
          <t>epic</t>
        </is>
      </c>
      <c r="E9" s="2" t="inlineStr">
        <is>
          <t>Focus</t>
        </is>
      </c>
      <c r="F9" s="3" t="inlineStr">
        <is>
          <t>The Focus speed bonus is multiplied by 2.</t>
        </is>
      </c>
      <c r="G9" s="2" t="inlineStr">
        <is>
          <t>speed_mult</t>
        </is>
      </c>
      <c r="H9" s="2" t="n">
        <v>2</v>
      </c>
      <c r="I9" s="4" t="n"/>
      <c r="J9" s="5">
        <f>IF(I9="","",I9/H9)</f>
        <v/>
      </c>
      <c r="K9" s="5" t="n"/>
      <c r="L9" s="5" t="n">
        <v>1</v>
      </c>
      <c r="M9" s="6" t="n">
        <v>0</v>
      </c>
      <c r="N9" s="3" t="inlineStr">
        <is>
          <t>pays in Focus</t>
        </is>
      </c>
      <c r="O9" s="4" t="inlineStr"/>
      <c r="P9" s="7" t="inlineStr"/>
      <c r="Q9" s="3" t="inlineStr">
        <is>
          <t>The Focus speed bonus is multiplied by {speed_mult}.</t>
        </is>
      </c>
      <c r="R9" s="2" t="inlineStr"/>
    </row>
    <row r="10">
      <c r="A10" s="2" t="n">
        <v>8</v>
      </c>
      <c r="B10" s="2" t="inlineStr">
        <is>
          <t>Magnitude</t>
        </is>
      </c>
      <c r="C10" s="2" t="inlineStr">
        <is>
          <t>double_bloom</t>
        </is>
      </c>
      <c r="D10" s="2" t="inlineStr">
        <is>
          <t>epic</t>
        </is>
      </c>
      <c r="E10" s="2" t="inlineStr">
        <is>
          <t>Pairs / sets</t>
        </is>
      </c>
      <c r="F10" s="3" t="inlineStr">
        <is>
          <t>Hands containing a pair score ×1.5 mult</t>
        </is>
      </c>
      <c r="G10" s="2" t="inlineStr">
        <is>
          <t>mult_mult</t>
        </is>
      </c>
      <c r="H10" s="2" t="n">
        <v>1.5</v>
      </c>
      <c r="I10" s="4" t="n"/>
      <c r="J10" s="5">
        <f>IF(I10="","",I10/H10)</f>
        <v/>
      </c>
      <c r="K10" s="5" t="n">
        <v>0.64</v>
      </c>
      <c r="L10" s="5" t="n">
        <v>1.23</v>
      </c>
      <c r="M10" s="6" t="n">
        <v>51</v>
      </c>
      <c r="N10" s="3" t="inlineStr">
        <is>
          <t>Normal</t>
        </is>
      </c>
      <c r="O10" s="4" t="inlineStr"/>
      <c r="P10" s="7" t="inlineStr"/>
      <c r="Q10" s="3" t="inlineStr"/>
      <c r="R10" s="2" t="inlineStr"/>
    </row>
    <row r="11">
      <c r="A11" s="2" t="n">
        <v>9</v>
      </c>
      <c r="B11" s="2" t="inlineStr">
        <is>
          <t>Bedrock</t>
        </is>
      </c>
      <c r="C11" s="2" t="inlineStr">
        <is>
          <t>rare_bloom</t>
        </is>
      </c>
      <c r="D11" s="2" t="inlineStr">
        <is>
          <t>epic</t>
        </is>
      </c>
      <c r="E11" s="2" t="inlineStr">
        <is>
          <t>Pairs / sets</t>
        </is>
      </c>
      <c r="F11" s="3" t="inlineStr">
        <is>
          <t>Four of a Kind permanently buffs its 4 cards +8 pips each</t>
        </is>
      </c>
      <c r="G11" s="2" t="inlineStr">
        <is>
          <t>perm_pips</t>
        </is>
      </c>
      <c r="H11" s="2" t="n">
        <v>8</v>
      </c>
      <c r="I11" s="4" t="n"/>
      <c r="J11" s="5">
        <f>IF(I11="","",I11/H11)</f>
        <v/>
      </c>
      <c r="K11" s="5" t="n">
        <v>-0</v>
      </c>
      <c r="L11" s="5" t="n">
        <v>1</v>
      </c>
      <c r="M11" s="6" t="n">
        <v>10</v>
      </c>
      <c r="N11" s="3" t="inlineStr">
        <is>
          <t>Barely pays</t>
        </is>
      </c>
      <c r="O11" s="4" t="inlineStr"/>
      <c r="P11" s="7" t="inlineStr"/>
      <c r="Q11" s="3" t="inlineStr"/>
      <c r="R11" s="2" t="inlineStr"/>
    </row>
    <row r="12">
      <c r="A12" s="2" t="n">
        <v>10</v>
      </c>
      <c r="B12" s="2" t="inlineStr">
        <is>
          <t>Collapsing Columns</t>
        </is>
      </c>
      <c r="C12" s="2" t="inlineStr">
        <is>
          <t>full_house_streak</t>
        </is>
      </c>
      <c r="D12" s="2" t="inlineStr">
        <is>
          <t>epic</t>
        </is>
      </c>
      <c r="E12" s="2" t="inlineStr">
        <is>
          <t>Pairs / sets</t>
        </is>
      </c>
      <c r="F12" s="3" t="inlineStr">
        <is>
          <t>Full Houses score +10 Focus</t>
        </is>
      </c>
      <c r="G12" s="2" t="inlineStr">
        <is>
          <t>focus</t>
        </is>
      </c>
      <c r="H12" s="2" t="n">
        <v>10</v>
      </c>
      <c r="I12" s="4" t="n"/>
      <c r="J12" s="5">
        <f>IF(I12="","",I12/H12)</f>
        <v/>
      </c>
      <c r="K12" s="5" t="n"/>
      <c r="L12" s="5" t="n">
        <v>1</v>
      </c>
      <c r="M12" s="6" t="n">
        <v>0</v>
      </c>
      <c r="N12" s="3" t="inlineStr">
        <is>
          <t>pays in Focus</t>
        </is>
      </c>
      <c r="O12" s="4" t="inlineStr"/>
      <c r="P12" s="7" t="inlineStr"/>
      <c r="Q12" s="3" t="inlineStr"/>
      <c r="R12" s="2" t="inlineStr"/>
    </row>
    <row r="13">
      <c r="A13" s="2" t="n">
        <v>11</v>
      </c>
      <c r="B13" s="2" t="inlineStr">
        <is>
          <t>Double Dutch</t>
        </is>
      </c>
      <c r="C13" s="2" t="inlineStr">
        <is>
          <t>two_pair_mult</t>
        </is>
      </c>
      <c r="D13" s="2" t="inlineStr">
        <is>
          <t>epic</t>
        </is>
      </c>
      <c r="E13" s="2" t="inlineStr">
        <is>
          <t>Pairs / sets</t>
        </is>
      </c>
      <c r="F13" s="3" t="inlineStr">
        <is>
          <t>Play 3 hands with a pair within 30s to add +16 Focus</t>
        </is>
      </c>
      <c r="G13" s="2" t="inlineStr">
        <is>
          <t>focus</t>
        </is>
      </c>
      <c r="H13" s="2" t="n">
        <v>16</v>
      </c>
      <c r="I13" s="4" t="n"/>
      <c r="J13" s="5">
        <f>IF(I13="","",I13/H13)</f>
        <v/>
      </c>
      <c r="K13" s="5" t="n"/>
      <c r="L13" s="5" t="n">
        <v>1</v>
      </c>
      <c r="M13" s="6" t="n">
        <v>1</v>
      </c>
      <c r="N13" s="3" t="inlineStr">
        <is>
          <t>pays in Focus</t>
        </is>
      </c>
      <c r="O13" s="4" t="inlineStr"/>
      <c r="P13" s="7" t="inlineStr"/>
      <c r="Q13" s="3" t="inlineStr"/>
      <c r="R13" s="2" t="inlineStr"/>
    </row>
    <row r="14">
      <c r="A14" s="8" t="n"/>
      <c r="B14" s="8" t="inlineStr"/>
      <c r="C14" s="8" t="inlineStr"/>
      <c r="D14" s="8" t="inlineStr"/>
      <c r="E14" s="8" t="inlineStr"/>
      <c r="F14" s="9" t="inlineStr"/>
      <c r="G14" s="8" t="inlineStr">
        <is>
          <t>window_ms</t>
        </is>
      </c>
      <c r="H14" s="8" t="n">
        <v>30000</v>
      </c>
      <c r="I14" s="4" t="n"/>
      <c r="J14" s="10">
        <f>IF(I14="","",I14/H14)</f>
        <v/>
      </c>
      <c r="K14" s="10" t="n"/>
      <c r="L14" s="10" t="n"/>
      <c r="M14" s="8" t="n"/>
      <c r="N14" s="9" t="inlineStr"/>
      <c r="O14" s="4" t="inlineStr"/>
      <c r="P14" s="7" t="inlineStr"/>
      <c r="Q14" s="9" t="inlineStr"/>
      <c r="R14" s="8" t="inlineStr"/>
    </row>
    <row r="15">
      <c r="A15" s="8" t="n"/>
      <c r="B15" s="8" t="inlineStr"/>
      <c r="C15" s="8" t="inlineStr"/>
      <c r="D15" s="8" t="inlineStr"/>
      <c r="E15" s="8" t="inlineStr"/>
      <c r="F15" s="9" t="inlineStr"/>
      <c r="G15" s="8" t="inlineStr">
        <is>
          <t>need_count</t>
        </is>
      </c>
      <c r="H15" s="8" t="n">
        <v>3</v>
      </c>
      <c r="I15" s="4" t="n"/>
      <c r="J15" s="10">
        <f>IF(I15="","",I15/H15)</f>
        <v/>
      </c>
      <c r="K15" s="10" t="n"/>
      <c r="L15" s="10" t="n"/>
      <c r="M15" s="8" t="n"/>
      <c r="N15" s="9" t="inlineStr"/>
      <c r="O15" s="4" t="inlineStr"/>
      <c r="P15" s="7" t="inlineStr"/>
      <c r="Q15" s="9" t="inlineStr"/>
      <c r="R15" s="8" t="inlineStr"/>
    </row>
    <row r="16">
      <c r="A16" s="2" t="n">
        <v>12</v>
      </c>
      <c r="B16" s="2" t="inlineStr">
        <is>
          <t>Eye of the Storm</t>
        </is>
      </c>
      <c r="C16" s="2" t="inlineStr">
        <is>
          <t>eye_of_storm</t>
        </is>
      </c>
      <c r="D16" s="2" t="inlineStr">
        <is>
          <t>epic</t>
        </is>
      </c>
      <c r="E16" s="2" t="inlineStr">
        <is>
          <t>Pairs / sets</t>
        </is>
      </c>
      <c r="F16" s="3" t="inlineStr">
        <is>
          <t>Hands played in the middle third of the round replay the highest-ranked card(s) 2x</t>
        </is>
      </c>
      <c r="G16" s="2" t="inlineStr">
        <is>
          <t>(in code, no BAL number)</t>
        </is>
      </c>
      <c r="H16" s="2" t="n"/>
      <c r="I16" s="4" t="n"/>
      <c r="J16" s="5" t="n"/>
      <c r="K16" s="5" t="n">
        <v>0.33</v>
      </c>
      <c r="L16" s="5" t="n">
        <v>1.12</v>
      </c>
      <c r="M16" s="6" t="n">
        <v>7</v>
      </c>
      <c r="N16" s="3" t="inlineStr">
        <is>
          <t>Low</t>
        </is>
      </c>
      <c r="O16" s="4" t="inlineStr"/>
      <c r="P16" s="7" t="inlineStr"/>
      <c r="Q16" s="3" t="inlineStr"/>
      <c r="R16" s="2" t="inlineStr"/>
    </row>
    <row r="17">
      <c r="A17" s="2" t="n">
        <v>13</v>
      </c>
      <c r="B17" s="2" t="inlineStr">
        <is>
          <t>Inspirato</t>
        </is>
      </c>
      <c r="C17" s="2" t="inlineStr">
        <is>
          <t>wild_heart</t>
        </is>
      </c>
      <c r="D17" s="2" t="inlineStr">
        <is>
          <t>epic</t>
        </is>
      </c>
      <c r="E17" s="2" t="inlineStr">
        <is>
          <t>Rank</t>
        </is>
      </c>
      <c r="F17" s="3" t="inlineStr">
        <is>
          <t>When an Ace scores, prime your first and last Tricks</t>
        </is>
      </c>
      <c r="G17" s="2" t="inlineStr">
        <is>
          <t>mult_per_ace</t>
        </is>
      </c>
      <c r="H17" s="2" t="n">
        <v>2</v>
      </c>
      <c r="I17" s="4" t="n"/>
      <c r="J17" s="5">
        <f>IF(I17="","",I17/H17)</f>
        <v/>
      </c>
      <c r="K17" s="5" t="n">
        <v>0.02</v>
      </c>
      <c r="L17" s="5" t="n">
        <v>1.01</v>
      </c>
      <c r="M17" s="6" t="n">
        <v>5</v>
      </c>
      <c r="N17" s="3" t="inlineStr">
        <is>
          <t>Barely pays</t>
        </is>
      </c>
      <c r="O17" s="4" t="inlineStr"/>
      <c r="P17" s="7" t="inlineStr"/>
      <c r="Q17" s="3" t="inlineStr"/>
      <c r="R17" s="2" t="inlineStr">
        <is>
          <t>positional</t>
        </is>
      </c>
    </row>
    <row r="18">
      <c r="A18" s="2" t="n">
        <v>14</v>
      </c>
      <c r="B18" s="2" t="inlineStr">
        <is>
          <t>Gnomes</t>
        </is>
      </c>
      <c r="C18" s="2" t="inlineStr">
        <is>
          <t>before_the_tide</t>
        </is>
      </c>
      <c r="D18" s="2" t="inlineStr">
        <is>
          <t>epic</t>
        </is>
      </c>
      <c r="E18" s="2" t="inlineStr">
        <is>
          <t>Rank</t>
        </is>
      </c>
      <c r="F18" s="3" t="inlineStr">
        <is>
          <t>Each rank 5 or lower card scored adds its rank in Focus</t>
        </is>
      </c>
      <c r="G18" s="2" t="inlineStr">
        <is>
          <t>extra_mult</t>
        </is>
      </c>
      <c r="H18" s="2" t="n">
        <v>5</v>
      </c>
      <c r="I18" s="4" t="n"/>
      <c r="J18" s="5">
        <f>IF(I18="","",I18/H18)</f>
        <v/>
      </c>
      <c r="K18" s="5" t="n"/>
      <c r="L18" s="5" t="n">
        <v>1</v>
      </c>
      <c r="M18" s="6" t="n">
        <v>0</v>
      </c>
      <c r="N18" s="3" t="inlineStr">
        <is>
          <t>pays in Focus</t>
        </is>
      </c>
      <c r="O18" s="4" t="inlineStr"/>
      <c r="P18" s="7" t="inlineStr"/>
      <c r="Q18" s="3" t="inlineStr"/>
      <c r="R18" s="2" t="inlineStr"/>
    </row>
    <row r="19">
      <c r="A19" s="2" t="n">
        <v>15</v>
      </c>
      <c r="B19" s="2" t="inlineStr">
        <is>
          <t>Heads of State</t>
        </is>
      </c>
      <c r="C19" s="2" t="inlineStr">
        <is>
          <t>royal_trio</t>
        </is>
      </c>
      <c r="D19" s="2" t="inlineStr">
        <is>
          <t>epic</t>
        </is>
      </c>
      <c r="E19" s="2" t="inlineStr">
        <is>
          <t>Rank</t>
        </is>
      </c>
      <c r="F19" s="3" t="inlineStr">
        <is>
          <t>A hand containing a King and one other Royal scores ×2 mult</t>
        </is>
      </c>
      <c r="G19" s="2" t="inlineStr">
        <is>
          <t>mult_mult</t>
        </is>
      </c>
      <c r="H19" s="2" t="n">
        <v>2</v>
      </c>
      <c r="I19" s="4" t="n"/>
      <c r="J19" s="5">
        <f>IF(I19="","",I19/H19)</f>
        <v/>
      </c>
      <c r="K19" s="5" t="n">
        <v>0.22</v>
      </c>
      <c r="L19" s="5" t="n">
        <v>1.08</v>
      </c>
      <c r="M19" s="6" t="n">
        <v>11</v>
      </c>
      <c r="N19" s="3" t="inlineStr">
        <is>
          <t>Normal</t>
        </is>
      </c>
      <c r="O19" s="4" t="inlineStr"/>
      <c r="P19" s="7" t="inlineStr"/>
      <c r="Q19" s="3" t="inlineStr"/>
      <c r="R19" s="2" t="inlineStr"/>
    </row>
    <row r="20">
      <c r="A20" s="2" t="n">
        <v>16</v>
      </c>
      <c r="B20" s="2" t="inlineStr">
        <is>
          <t>The Falcon</t>
        </is>
      </c>
      <c r="C20" s="2" t="inlineStr">
        <is>
          <t>frozen_moment</t>
        </is>
      </c>
      <c r="D20" s="2" t="inlineStr">
        <is>
          <t>epic</t>
        </is>
      </c>
      <c r="E20" s="2" t="inlineStr">
        <is>
          <t>Timing</t>
        </is>
      </c>
      <c r="F20" s="3" t="inlineStr">
        <is>
          <t>Hands played while the clock is paused add +10 Focus</t>
        </is>
      </c>
      <c r="G20" s="2" t="inlineStr">
        <is>
          <t>focus</t>
        </is>
      </c>
      <c r="H20" s="2" t="n">
        <v>10</v>
      </c>
      <c r="I20" s="4" t="n"/>
      <c r="J20" s="5">
        <f>IF(I20="","",I20/H20)</f>
        <v/>
      </c>
      <c r="K20" s="5" t="n"/>
      <c r="L20" s="5" t="n">
        <v>1</v>
      </c>
      <c r="M20" s="6" t="n">
        <v>0</v>
      </c>
      <c r="N20" s="3" t="inlineStr">
        <is>
          <t>pays in Focus</t>
        </is>
      </c>
      <c r="O20" s="4" t="inlineStr"/>
      <c r="P20" s="7" t="inlineStr"/>
      <c r="Q20" s="3" t="inlineStr"/>
      <c r="R20" s="2" t="inlineStr"/>
    </row>
    <row r="21">
      <c r="A21" s="2" t="n">
        <v>17</v>
      </c>
      <c r="B21" s="2" t="inlineStr">
        <is>
          <t>The Cuckoo</t>
        </is>
      </c>
      <c r="C21" s="2" t="inlineStr">
        <is>
          <t>cuckoo</t>
        </is>
      </c>
      <c r="D21" s="2" t="inlineStr">
        <is>
          <t>epic</t>
        </is>
      </c>
      <c r="E21" s="2" t="inlineStr">
        <is>
          <t>Birds (timing)</t>
        </is>
      </c>
      <c r="F21" s="3" t="inlineStr">
        <is>
          <t>Every other hand pauses the clock for 1s for every 5 replays triggered this round</t>
        </is>
      </c>
      <c r="G21" s="2" t="inlineStr">
        <is>
          <t>hands_between</t>
        </is>
      </c>
      <c r="H21" s="2" t="n">
        <v>2</v>
      </c>
      <c r="I21" s="4" t="n"/>
      <c r="J21" s="5">
        <f>IF(I21="","",I21/H21)</f>
        <v/>
      </c>
      <c r="K21" s="5" t="n"/>
      <c r="L21" s="5" t="n">
        <v>1</v>
      </c>
      <c r="M21" s="6" t="n">
        <v>8</v>
      </c>
      <c r="N21" s="3" t="inlineStr">
        <is>
          <t>pays in Time</t>
        </is>
      </c>
      <c r="O21" s="4" t="inlineStr"/>
      <c r="P21" s="7" t="inlineStr"/>
      <c r="Q21" s="3" t="inlineStr"/>
      <c r="R21" s="2" t="inlineStr"/>
    </row>
    <row r="22">
      <c r="A22" s="8" t="n"/>
      <c r="B22" s="8" t="inlineStr"/>
      <c r="C22" s="8" t="inlineStr"/>
      <c r="D22" s="8" t="inlineStr"/>
      <c r="E22" s="8" t="inlineStr"/>
      <c r="F22" s="9" t="inlineStr"/>
      <c r="G22" s="8" t="inlineStr">
        <is>
          <t>per_replays</t>
        </is>
      </c>
      <c r="H22" s="8" t="n">
        <v>5</v>
      </c>
      <c r="I22" s="4" t="n"/>
      <c r="J22" s="10">
        <f>IF(I22="","",I22/H22)</f>
        <v/>
      </c>
      <c r="K22" s="10" t="n"/>
      <c r="L22" s="10" t="n"/>
      <c r="M22" s="8" t="n"/>
      <c r="N22" s="9" t="inlineStr"/>
      <c r="O22" s="4" t="inlineStr"/>
      <c r="P22" s="7" t="inlineStr"/>
      <c r="Q22" s="9" t="inlineStr"/>
      <c r="R22" s="8" t="inlineStr"/>
    </row>
    <row r="23">
      <c r="A23" s="2" t="n">
        <v>18</v>
      </c>
      <c r="B23" s="2" t="inlineStr">
        <is>
          <t>Double Jeopardy</t>
        </is>
      </c>
      <c r="C23" s="2" t="inlineStr">
        <is>
          <t>double_jeopardy</t>
        </is>
      </c>
      <c r="D23" s="2" t="inlineStr">
        <is>
          <t>epic</t>
        </is>
      </c>
      <c r="E23" s="2" t="inlineStr">
        <is>
          <t>Position</t>
        </is>
      </c>
      <c r="F23" s="3" t="inlineStr">
        <is>
          <t>2 cells are secretly marked at round start; the first time you score from those cells, pause the clock for 15s each</t>
        </is>
      </c>
      <c r="G23" s="2" t="inlineStr">
        <is>
          <t>pause_seconds</t>
        </is>
      </c>
      <c r="H23" s="2" t="n">
        <v>15</v>
      </c>
      <c r="I23" s="4" t="n"/>
      <c r="J23" s="5">
        <f>IF(I23="","",I23/H23)</f>
        <v/>
      </c>
      <c r="K23" s="5" t="n"/>
      <c r="L23" s="5" t="n">
        <v>1</v>
      </c>
      <c r="M23" s="6" t="n">
        <v>0</v>
      </c>
      <c r="N23" s="3" t="inlineStr">
        <is>
          <t>pays in Time</t>
        </is>
      </c>
      <c r="O23" s="4" t="inlineStr"/>
      <c r="P23" s="7" t="inlineStr"/>
      <c r="Q23" s="3" t="inlineStr">
        <is>
          <t>{cells} cells are secretly marked at round start; the first time you score from those cells, pause the clock for {pause_seconds}s each</t>
        </is>
      </c>
      <c r="R23" s="2" t="inlineStr"/>
    </row>
    <row r="24">
      <c r="A24" s="8" t="n"/>
      <c r="B24" s="8" t="inlineStr"/>
      <c r="C24" s="8" t="inlineStr"/>
      <c r="D24" s="8" t="inlineStr"/>
      <c r="E24" s="8" t="inlineStr"/>
      <c r="F24" s="9" t="inlineStr"/>
      <c r="G24" s="8" t="inlineStr">
        <is>
          <t>cells</t>
        </is>
      </c>
      <c r="H24" s="8" t="n">
        <v>2</v>
      </c>
      <c r="I24" s="4" t="n"/>
      <c r="J24" s="10">
        <f>IF(I24="","",I24/H24)</f>
        <v/>
      </c>
      <c r="K24" s="10" t="n"/>
      <c r="L24" s="10" t="n"/>
      <c r="M24" s="8" t="n"/>
      <c r="N24" s="9" t="inlineStr"/>
      <c r="O24" s="4" t="inlineStr"/>
      <c r="P24" s="7" t="inlineStr"/>
      <c r="Q24" s="9" t="inlineStr"/>
      <c r="R24" s="8" t="inlineStr"/>
    </row>
    <row r="25">
      <c r="A25" s="2" t="n">
        <v>19</v>
      </c>
      <c r="B25" s="2" t="inlineStr">
        <is>
          <t>The Vulture</t>
        </is>
      </c>
      <c r="C25" s="2" t="inlineStr">
        <is>
          <t>vulture</t>
        </is>
      </c>
      <c r="D25" s="2" t="inlineStr">
        <is>
          <t>epic</t>
        </is>
      </c>
      <c r="E25" s="2" t="inlineStr">
        <is>
          <t>Birds (timing)</t>
        </is>
      </c>
      <c r="F25" s="3" t="inlineStr">
        <is>
          <t>Cards discarded during the round’s first pause permanently pause the clock for 3s when scored (time buffs do not stack)</t>
        </is>
      </c>
      <c r="G25" s="2" t="inlineStr">
        <is>
          <t>pause_seconds</t>
        </is>
      </c>
      <c r="H25" s="2" t="n">
        <v>3</v>
      </c>
      <c r="I25" s="4" t="n"/>
      <c r="J25" s="5">
        <f>IF(I25="","",I25/H25)</f>
        <v/>
      </c>
      <c r="K25" s="5" t="n"/>
      <c r="L25" s="5" t="n">
        <v>1</v>
      </c>
      <c r="M25" s="6" t="n">
        <v>0</v>
      </c>
      <c r="N25" s="3" t="inlineStr">
        <is>
          <t>pays in Time</t>
        </is>
      </c>
      <c r="O25" s="4" t="inlineStr"/>
      <c r="P25" s="7" t="inlineStr"/>
      <c r="Q25" s="3" t="inlineStr">
        <is>
          <t>Cards discarded during the round’s first pause permanently pause the clock for {pause_seconds}s when scored (time buffs do not stack)</t>
        </is>
      </c>
      <c r="R25" s="2" t="inlineStr"/>
    </row>
    <row r="26">
      <c r="A26" s="2" t="n">
        <v>20</v>
      </c>
      <c r="B26" s="2" t="inlineStr">
        <is>
          <t>Hourglass</t>
        </is>
      </c>
      <c r="C26" s="2" t="inlineStr">
        <is>
          <t>hourglass</t>
        </is>
      </c>
      <c r="D26" s="2" t="inlineStr">
        <is>
          <t>epic</t>
        </is>
      </c>
      <c r="E26" s="2" t="inlineStr">
        <is>
          <t>Timing</t>
        </is>
      </c>
      <c r="F26" s="3" t="inlineStr">
        <is>
          <t>Each time the clock passes a minute mark, there is a 50% chance to give a random card on the grid +1 replay</t>
        </is>
      </c>
      <c r="G26" s="2" t="inlineStr">
        <is>
          <t>chance</t>
        </is>
      </c>
      <c r="H26" s="2" t="n">
        <v>0.5</v>
      </c>
      <c r="I26" s="4" t="n"/>
      <c r="J26" s="5">
        <f>IF(I26="","",I26/H26)</f>
        <v/>
      </c>
      <c r="K26" s="5" t="n">
        <v>0.17</v>
      </c>
      <c r="L26" s="5" t="n">
        <v>1.06</v>
      </c>
      <c r="M26" s="6" t="n">
        <v>15</v>
      </c>
      <c r="N26" s="3" t="inlineStr">
        <is>
          <t>Low</t>
        </is>
      </c>
      <c r="O26" s="4" t="inlineStr"/>
      <c r="P26" s="7" t="inlineStr"/>
      <c r="Q26" s="3" t="inlineStr"/>
      <c r="R26" s="2" t="inlineStr">
        <is>
          <t>time, retrigger</t>
        </is>
      </c>
    </row>
    <row r="27">
      <c r="A27" s="2" t="n">
        <v>21</v>
      </c>
      <c r="B27" s="2" t="inlineStr">
        <is>
          <t>Hyperphagia</t>
        </is>
      </c>
      <c r="C27" s="2" t="inlineStr">
        <is>
          <t>magpie</t>
        </is>
      </c>
      <c r="D27" s="2" t="inlineStr">
        <is>
          <t>epic</t>
        </is>
      </c>
      <c r="E27" s="2" t="inlineStr">
        <is>
          <t>Timing</t>
        </is>
      </c>
      <c r="F27" s="3" t="inlineStr">
        <is>
          <t>Each hand rewinds the clock 1s for every 2 swaps + discards you hold</t>
        </is>
      </c>
      <c r="G27" s="2" t="inlineStr">
        <is>
          <t>actions_per_second</t>
        </is>
      </c>
      <c r="H27" s="2" t="n">
        <v>2</v>
      </c>
      <c r="I27" s="4" t="n"/>
      <c r="J27" s="5">
        <f>IF(I27="","",I27/H27)</f>
        <v/>
      </c>
      <c r="K27" s="5" t="n"/>
      <c r="L27" s="5" t="n">
        <v>1</v>
      </c>
      <c r="M27" s="6" t="n">
        <v>2</v>
      </c>
      <c r="N27" s="3" t="inlineStr">
        <is>
          <t>pays in Time</t>
        </is>
      </c>
      <c r="O27" s="4" t="inlineStr"/>
      <c r="P27" s="7" t="inlineStr"/>
      <c r="Q27" s="3" t="inlineStr"/>
      <c r="R27" s="2" t="inlineStr">
        <is>
          <t>time, resource</t>
        </is>
      </c>
    </row>
    <row r="28">
      <c r="A28" s="2" t="n">
        <v>22</v>
      </c>
      <c r="B28" s="2" t="inlineStr">
        <is>
          <t>Blood Diamonds</t>
        </is>
      </c>
      <c r="C28" s="2" t="inlineStr">
        <is>
          <t>monochrome</t>
        </is>
      </c>
      <c r="D28" s="2" t="inlineStr">
        <is>
          <t>epic</t>
        </is>
      </c>
      <c r="E28" s="2" t="inlineStr">
        <is>
          <t>Suits</t>
        </is>
      </c>
      <c r="F28" s="3" t="inlineStr">
        <is>
          <t>Hands containing exclusively hearts AND diamonds grant +5 credits but cost 10 seconds</t>
        </is>
      </c>
      <c r="G28" s="2" t="inlineStr">
        <is>
          <t>coins</t>
        </is>
      </c>
      <c r="H28" s="2" t="n">
        <v>5</v>
      </c>
      <c r="I28" s="4" t="n"/>
      <c r="J28" s="5">
        <f>IF(I28="","",I28/H28)</f>
        <v/>
      </c>
      <c r="K28" s="5" t="n"/>
      <c r="L28" s="5" t="n">
        <v>1</v>
      </c>
      <c r="M28" s="6" t="n">
        <v>0</v>
      </c>
      <c r="N28" s="3" t="inlineStr">
        <is>
          <t>pays in Credits / stock</t>
        </is>
      </c>
      <c r="O28" s="4" t="inlineStr"/>
      <c r="P28" s="7" t="inlineStr"/>
      <c r="Q28" s="3" t="inlineStr">
        <is>
          <t>Hands containing exclusively hearts AND diamonds grant +{coins} credits but cost {seconds} seconds</t>
        </is>
      </c>
      <c r="R28" s="2" t="inlineStr"/>
    </row>
    <row r="29">
      <c r="A29" s="8" t="n"/>
      <c r="B29" s="8" t="inlineStr"/>
      <c r="C29" s="8" t="inlineStr"/>
      <c r="D29" s="8" t="inlineStr"/>
      <c r="E29" s="8" t="inlineStr"/>
      <c r="F29" s="9" t="inlineStr"/>
      <c r="G29" s="8" t="inlineStr">
        <is>
          <t>seconds</t>
        </is>
      </c>
      <c r="H29" s="8" t="n">
        <v>10</v>
      </c>
      <c r="I29" s="4" t="n"/>
      <c r="J29" s="10">
        <f>IF(I29="","",I29/H29)</f>
        <v/>
      </c>
      <c r="K29" s="10" t="n"/>
      <c r="L29" s="10" t="n"/>
      <c r="M29" s="8" t="n"/>
      <c r="N29" s="9" t="inlineStr"/>
      <c r="O29" s="4" t="inlineStr"/>
      <c r="P29" s="7" t="inlineStr"/>
      <c r="Q29" s="9" t="inlineStr"/>
      <c r="R29" s="8" t="inlineStr"/>
    </row>
    <row r="30">
      <c r="A30" s="2" t="n">
        <v>23</v>
      </c>
      <c r="B30" s="2" t="inlineStr">
        <is>
          <t>Threepeat</t>
        </is>
      </c>
      <c r="C30" s="2" t="inlineStr">
        <is>
          <t>ninesong</t>
        </is>
      </c>
      <c r="D30" s="2" t="inlineStr">
        <is>
          <t>epic</t>
        </is>
      </c>
      <c r="E30" s="2" t="inlineStr">
        <is>
          <t>Numbers</t>
        </is>
      </c>
      <c r="F30" s="3" t="inlineStr">
        <is>
          <t>If the hand's pip total is divisible by 3, one of the following happens: rewind the clock 9s, +9 mult, +9 Focus</t>
        </is>
      </c>
      <c r="G30" s="2" t="inlineStr">
        <is>
          <t>seconds</t>
        </is>
      </c>
      <c r="H30" s="2" t="n">
        <v>9</v>
      </c>
      <c r="I30" s="4" t="n"/>
      <c r="J30" s="5">
        <f>IF(I30="","",I30/H30)</f>
        <v/>
      </c>
      <c r="K30" s="5" t="n">
        <v>0.41</v>
      </c>
      <c r="L30" s="5" t="n">
        <v>1.15</v>
      </c>
      <c r="M30" s="6" t="n">
        <v>14</v>
      </c>
      <c r="N30" s="3" t="inlineStr">
        <is>
          <t>Low</t>
        </is>
      </c>
      <c r="O30" s="4" t="inlineStr"/>
      <c r="P30" s="7" t="inlineStr"/>
      <c r="Q30" s="3" t="inlineStr">
        <is>
          <t>If the hand's pip total is divisible by 3, one of the following happens: rewind the clock {seconds}s, +{mult} mult, +{focus} Focus</t>
        </is>
      </c>
      <c r="R30" s="2" t="inlineStr"/>
    </row>
    <row r="31">
      <c r="A31" s="8" t="n"/>
      <c r="B31" s="8" t="inlineStr"/>
      <c r="C31" s="8" t="inlineStr"/>
      <c r="D31" s="8" t="inlineStr"/>
      <c r="E31" s="8" t="inlineStr"/>
      <c r="F31" s="9" t="inlineStr"/>
      <c r="G31" s="8" t="inlineStr">
        <is>
          <t>mult</t>
        </is>
      </c>
      <c r="H31" s="8" t="n">
        <v>9</v>
      </c>
      <c r="I31" s="4" t="n"/>
      <c r="J31" s="10">
        <f>IF(I31="","",I31/H31)</f>
        <v/>
      </c>
      <c r="K31" s="10" t="n"/>
      <c r="L31" s="10" t="n"/>
      <c r="M31" s="8" t="n"/>
      <c r="N31" s="9" t="inlineStr"/>
      <c r="O31" s="4" t="inlineStr"/>
      <c r="P31" s="7" t="inlineStr"/>
      <c r="Q31" s="9" t="inlineStr"/>
      <c r="R31" s="8" t="inlineStr"/>
    </row>
    <row r="32">
      <c r="A32" s="8" t="n"/>
      <c r="B32" s="8" t="inlineStr"/>
      <c r="C32" s="8" t="inlineStr"/>
      <c r="D32" s="8" t="inlineStr"/>
      <c r="E32" s="8" t="inlineStr"/>
      <c r="F32" s="9" t="inlineStr"/>
      <c r="G32" s="8" t="inlineStr">
        <is>
          <t>focus</t>
        </is>
      </c>
      <c r="H32" s="8" t="n">
        <v>9</v>
      </c>
      <c r="I32" s="4" t="n"/>
      <c r="J32" s="10">
        <f>IF(I32="","",I32/H32)</f>
        <v/>
      </c>
      <c r="K32" s="10" t="n"/>
      <c r="L32" s="10" t="n"/>
      <c r="M32" s="8" t="n"/>
      <c r="N32" s="9" t="inlineStr"/>
      <c r="O32" s="4" t="inlineStr"/>
      <c r="P32" s="7" t="inlineStr"/>
      <c r="Q32" s="9" t="inlineStr"/>
      <c r="R32" s="8" t="inlineStr"/>
    </row>
    <row r="33">
      <c r="A33" s="2" t="n">
        <v>24</v>
      </c>
      <c r="B33" s="2" t="inlineStr">
        <is>
          <t>Perfect Timing</t>
        </is>
      </c>
      <c r="C33" s="2" t="inlineStr">
        <is>
          <t>perfect_timing</t>
        </is>
      </c>
      <c r="D33" s="2" t="inlineStr">
        <is>
          <t>epic</t>
        </is>
      </c>
      <c r="E33" s="2" t="inlineStr">
        <is>
          <t>Position</t>
        </is>
      </c>
      <c r="F33" s="3" t="inlineStr">
        <is>
          <t>Cards scored in a marked row or column replay once</t>
        </is>
      </c>
      <c r="G33" s="2" t="inlineStr">
        <is>
          <t>(in code, no BAL number)</t>
        </is>
      </c>
      <c r="H33" s="2" t="n"/>
      <c r="I33" s="4" t="n"/>
      <c r="J33" s="5" t="n"/>
      <c r="K33" s="5" t="n">
        <v>0.99</v>
      </c>
      <c r="L33" s="5" t="n">
        <v>1.35</v>
      </c>
      <c r="M33" s="6" t="n">
        <v>39</v>
      </c>
      <c r="N33" s="3" t="inlineStr">
        <is>
          <t>High</t>
        </is>
      </c>
      <c r="O33" s="4" t="inlineStr"/>
      <c r="P33" s="7" t="inlineStr"/>
      <c r="Q33" s="3" t="inlineStr"/>
      <c r="R33" s="2" t="inlineStr">
        <is>
          <t>replay, position</t>
        </is>
      </c>
    </row>
    <row r="34">
      <c r="A34" s="2" t="n">
        <v>25</v>
      </c>
      <c r="B34" s="2" t="inlineStr">
        <is>
          <t>Ley Line</t>
        </is>
      </c>
      <c r="C34" s="2" t="inlineStr">
        <is>
          <t>rowcol_perm_double</t>
        </is>
      </c>
      <c r="D34" s="2" t="inlineStr">
        <is>
          <t>epic</t>
        </is>
      </c>
      <c r="E34" s="2" t="inlineStr">
        <is>
          <t>Position</t>
        </is>
      </c>
      <c r="F34" s="3" t="inlineStr">
        <is>
          <t>Cards scored at the intersection of a row effect and a column effect permanently gain +1 mult</t>
        </is>
      </c>
      <c r="G34" s="2" t="inlineStr">
        <is>
          <t>perm_mult</t>
        </is>
      </c>
      <c r="H34" s="2" t="n">
        <v>1</v>
      </c>
      <c r="I34" s="4" t="n"/>
      <c r="J34" s="5">
        <f>IF(I34="","",I34/H34)</f>
        <v/>
      </c>
      <c r="K34" s="5" t="n">
        <v>0</v>
      </c>
      <c r="L34" s="5" t="n">
        <v>1</v>
      </c>
      <c r="M34" s="6" t="n">
        <v>0</v>
      </c>
      <c r="N34" s="3" t="inlineStr">
        <is>
          <t>Barely pays</t>
        </is>
      </c>
      <c r="O34" s="4" t="inlineStr"/>
      <c r="P34" s="7" t="inlineStr"/>
      <c r="Q34" s="3" t="inlineStr">
        <is>
          <t>Cards scored at the intersection of a row effect and a column effect permanently gain +{perm_mult} mult</t>
        </is>
      </c>
      <c r="R34" s="2" t="inlineStr">
        <is>
          <t>mult, position, scaling</t>
        </is>
      </c>
    </row>
    <row r="35">
      <c r="A35" s="2" t="n">
        <v>26</v>
      </c>
      <c r="B35" s="2" t="inlineStr">
        <is>
          <t>Hands of Blue</t>
        </is>
      </c>
      <c r="C35" s="2" t="inlineStr">
        <is>
          <t>shape_square</t>
        </is>
      </c>
      <c r="D35" s="2" t="inlineStr">
        <is>
          <t>epic</t>
        </is>
      </c>
      <c r="E35" s="2" t="inlineStr">
        <is>
          <t>Position</t>
        </is>
      </c>
      <c r="F35" s="3" t="inlineStr">
        <is>
          <t>A 2×2 shaped hand adds +16 Focus</t>
        </is>
      </c>
      <c r="G35" s="2" t="inlineStr">
        <is>
          <t>focus</t>
        </is>
      </c>
      <c r="H35" s="2" t="n">
        <v>16</v>
      </c>
      <c r="I35" s="4" t="n"/>
      <c r="J35" s="5">
        <f>IF(I35="","",I35/H35)</f>
        <v/>
      </c>
      <c r="K35" s="5" t="n"/>
      <c r="L35" s="5" t="n">
        <v>1</v>
      </c>
      <c r="M35" s="6" t="n">
        <v>0</v>
      </c>
      <c r="N35" s="3" t="inlineStr">
        <is>
          <t>pays in Focus</t>
        </is>
      </c>
      <c r="O35" s="4" t="inlineStr"/>
      <c r="P35" s="7" t="inlineStr"/>
      <c r="Q35" s="3" t="inlineStr">
        <is>
          <t>A 2×2 shaped hand adds +{focus} Focus</t>
        </is>
      </c>
      <c r="R35" s="2" t="inlineStr">
        <is>
          <t>position, shape, focus</t>
        </is>
      </c>
    </row>
    <row r="36">
      <c r="A36" s="2" t="n">
        <v>27</v>
      </c>
      <c r="B36" s="2" t="inlineStr">
        <is>
          <t>Straight Shot</t>
        </is>
      </c>
      <c r="C36" s="2" t="inlineStr">
        <is>
          <t>shape_line</t>
        </is>
      </c>
      <c r="D36" s="2" t="inlineStr">
        <is>
          <t>epic</t>
        </is>
      </c>
      <c r="E36" s="2" t="inlineStr">
        <is>
          <t>Position</t>
        </is>
      </c>
      <c r="F36" s="3" t="inlineStr">
        <is>
          <t>5-card hands played in a straight line add every card's pip value to mult</t>
        </is>
      </c>
      <c r="G36" s="2" t="inlineStr">
        <is>
          <t>(in code, no BAL number)</t>
        </is>
      </c>
      <c r="H36" s="2" t="n"/>
      <c r="I36" s="4" t="n"/>
      <c r="J36" s="5" t="n"/>
      <c r="K36" s="5" t="n">
        <v>0.01</v>
      </c>
      <c r="L36" s="5" t="n">
        <v>1</v>
      </c>
      <c r="M36" s="6" t="n">
        <v>1</v>
      </c>
      <c r="N36" s="3" t="inlineStr">
        <is>
          <t>Low</t>
        </is>
      </c>
      <c r="O36" s="4" t="inlineStr"/>
      <c r="P36" s="7" t="inlineStr"/>
      <c r="Q36" s="3" t="inlineStr"/>
      <c r="R36" s="2" t="inlineStr">
        <is>
          <t>position, shape, mult</t>
        </is>
      </c>
    </row>
    <row r="37">
      <c r="A37" s="2" t="n">
        <v>28</v>
      </c>
      <c r="B37" s="2" t="inlineStr">
        <is>
          <t>Ornery</t>
        </is>
      </c>
      <c r="C37" s="2" t="inlineStr">
        <is>
          <t>two_corners</t>
        </is>
      </c>
      <c r="D37" s="2" t="inlineStr">
        <is>
          <t>epic</t>
        </is>
      </c>
      <c r="E37" s="2" t="inlineStr">
        <is>
          <t>Position</t>
        </is>
      </c>
      <c r="F37" s="3" t="inlineStr">
        <is>
          <t>Corner cards score ×2 mult</t>
        </is>
      </c>
      <c r="G37" s="2" t="inlineStr">
        <is>
          <t>mult_mult</t>
        </is>
      </c>
      <c r="H37" s="2" t="n">
        <v>2</v>
      </c>
      <c r="I37" s="4" t="n"/>
      <c r="J37" s="5">
        <f>IF(I37="","",I37/H37)</f>
        <v/>
      </c>
      <c r="K37" s="5" t="n">
        <v>0.31</v>
      </c>
      <c r="L37" s="5" t="n">
        <v>1.11</v>
      </c>
      <c r="M37" s="6" t="n">
        <v>23</v>
      </c>
      <c r="N37" s="3" t="inlineStr">
        <is>
          <t>Normal</t>
        </is>
      </c>
      <c r="O37" s="4" t="inlineStr"/>
      <c r="P37" s="7" t="inlineStr"/>
      <c r="Q37" s="3" t="inlineStr">
        <is>
          <t>Corner cards score ×{mult_mult} mult</t>
        </is>
      </c>
      <c r="R37" s="2" t="inlineStr">
        <is>
          <t>position, mult</t>
        </is>
      </c>
    </row>
    <row r="38">
      <c r="A38" s="2" t="n">
        <v>29</v>
      </c>
      <c r="B38" s="2" t="inlineStr">
        <is>
          <t>Assembly Line</t>
        </is>
      </c>
      <c r="C38" s="2" t="inlineStr">
        <is>
          <t>assembly_line</t>
        </is>
      </c>
      <c r="D38" s="2" t="inlineStr">
        <is>
          <t>epic</t>
        </is>
      </c>
      <c r="E38" s="2" t="inlineStr">
        <is>
          <t>Position</t>
        </is>
      </c>
      <c r="F38" s="3" t="inlineStr">
        <is>
          <t>Cards scored in a marked row or column score +1 mult for every card played from that line this round</t>
        </is>
      </c>
      <c r="G38" s="2" t="inlineStr">
        <is>
          <t>mult_per_prior</t>
        </is>
      </c>
      <c r="H38" s="2" t="n">
        <v>1</v>
      </c>
      <c r="I38" s="4" t="n"/>
      <c r="J38" s="5">
        <f>IF(I38="","",I38/H38)</f>
        <v/>
      </c>
      <c r="K38" s="5" t="n">
        <v>0.53</v>
      </c>
      <c r="L38" s="5" t="n">
        <v>1.19</v>
      </c>
      <c r="M38" s="6" t="n">
        <v>36</v>
      </c>
      <c r="N38" s="3" t="inlineStr">
        <is>
          <t>Low</t>
        </is>
      </c>
      <c r="O38" s="4" t="inlineStr"/>
      <c r="P38" s="7" t="inlineStr"/>
      <c r="Q38" s="3" t="inlineStr">
        <is>
          <t>Cards scored in a marked row or column score +{mult_per_prior} mult for every card played from that line this round</t>
        </is>
      </c>
      <c r="R38" s="2" t="inlineStr">
        <is>
          <t>mult, position, scaling</t>
        </is>
      </c>
    </row>
    <row r="39">
      <c r="A39" s="2" t="n">
        <v>30</v>
      </c>
      <c r="B39" s="2" t="inlineStr">
        <is>
          <t>Feng Shui</t>
        </is>
      </c>
      <c r="C39" s="2" t="inlineStr">
        <is>
          <t>feng_shui</t>
        </is>
      </c>
      <c r="D39" s="2" t="inlineStr">
        <is>
          <t>epic</t>
        </is>
      </c>
      <c r="E39" s="2" t="inlineStr">
        <is>
          <t>Position</t>
        </is>
      </c>
      <c r="F39" s="3" t="inlineStr">
        <is>
          <t>Permanently scores +3 pips for each hand scored with a row or column buff</t>
        </is>
      </c>
      <c r="G39" s="2" t="inlineStr">
        <is>
          <t>pips_per_hand</t>
        </is>
      </c>
      <c r="H39" s="2" t="n">
        <v>3</v>
      </c>
      <c r="I39" s="4" t="n"/>
      <c r="J39" s="5">
        <f>IF(I39="","",I39/H39)</f>
        <v/>
      </c>
      <c r="K39" s="5" t="n">
        <v>0.68</v>
      </c>
      <c r="L39" s="5" t="n">
        <v>1.24</v>
      </c>
      <c r="M39" s="6" t="n">
        <v>17</v>
      </c>
      <c r="N39" s="3" t="inlineStr">
        <is>
          <t>Normal</t>
        </is>
      </c>
      <c r="O39" s="4" t="inlineStr"/>
      <c r="P39" s="7" t="inlineStr"/>
      <c r="Q39" s="3" t="inlineStr">
        <is>
          <t>Permanently scores +{pips_per_hand} pips for each hand scored with a row or column buff</t>
        </is>
      </c>
      <c r="R39" s="2" t="inlineStr">
        <is>
          <t>pips, position, scaling</t>
        </is>
      </c>
    </row>
    <row r="40">
      <c r="A40" s="2" t="n">
        <v>31</v>
      </c>
      <c r="B40" s="2" t="inlineStr">
        <is>
          <t>Clean Sweep</t>
        </is>
      </c>
      <c r="C40" s="2" t="inlineStr">
        <is>
          <t>clean_sweep</t>
        </is>
      </c>
      <c r="D40" s="2" t="inlineStr">
        <is>
          <t>epic</t>
        </is>
      </c>
      <c r="E40" s="2" t="inlineStr">
        <is>
          <t>Position</t>
        </is>
      </c>
      <c r="F40" s="3" t="inlineStr">
        <is>
          <t>Use every cell of any row or column within two hands to add +5 Focus and +5 credits</t>
        </is>
      </c>
      <c r="G40" s="2" t="inlineStr">
        <is>
          <t>focus</t>
        </is>
      </c>
      <c r="H40" s="2" t="n">
        <v>5</v>
      </c>
      <c r="I40" s="4" t="n"/>
      <c r="J40" s="5">
        <f>IF(I40="","",I40/H40)</f>
        <v/>
      </c>
      <c r="K40" s="5" t="n"/>
      <c r="L40" s="5" t="n">
        <v>1</v>
      </c>
      <c r="M40" s="6" t="n">
        <v>0</v>
      </c>
      <c r="N40" s="3" t="inlineStr">
        <is>
          <t>pays in Focus</t>
        </is>
      </c>
      <c r="O40" s="4" t="inlineStr"/>
      <c r="P40" s="7" t="inlineStr"/>
      <c r="Q40" s="3" t="inlineStr"/>
      <c r="R40" s="2" t="inlineStr">
        <is>
          <t>focus, position</t>
        </is>
      </c>
    </row>
    <row r="41">
      <c r="A41" s="8" t="n"/>
      <c r="B41" s="8" t="inlineStr"/>
      <c r="C41" s="8" t="inlineStr"/>
      <c r="D41" s="8" t="inlineStr"/>
      <c r="E41" s="8" t="inlineStr"/>
      <c r="F41" s="9" t="inlineStr"/>
      <c r="G41" s="8" t="inlineStr">
        <is>
          <t>credits</t>
        </is>
      </c>
      <c r="H41" s="8" t="n">
        <v>5</v>
      </c>
      <c r="I41" s="4" t="n"/>
      <c r="J41" s="10">
        <f>IF(I41="","",I41/H41)</f>
        <v/>
      </c>
      <c r="K41" s="10" t="n"/>
      <c r="L41" s="10" t="n"/>
      <c r="M41" s="8" t="n"/>
      <c r="N41" s="9" t="inlineStr"/>
      <c r="O41" s="4" t="inlineStr"/>
      <c r="P41" s="7" t="inlineStr"/>
      <c r="Q41" s="9" t="inlineStr"/>
      <c r="R41" s="8" t="inlineStr"/>
    </row>
    <row r="42">
      <c r="A42" s="2" t="n">
        <v>32</v>
      </c>
      <c r="B42" s="2" t="inlineStr">
        <is>
          <t>Compound</t>
        </is>
      </c>
      <c r="C42" s="2" t="inlineStr">
        <is>
          <t>compound_mult</t>
        </is>
      </c>
      <c r="D42" s="2" t="inlineStr">
        <is>
          <t>epic</t>
        </is>
      </c>
      <c r="E42" s="2" t="inlineStr">
        <is>
          <t>Accumulating</t>
        </is>
      </c>
      <c r="F42" s="3" t="inlineStr">
        <is>
          <t>Each hand played permanently adds +0.1 mult to this trick</t>
        </is>
      </c>
      <c r="G42" s="2" t="inlineStr">
        <is>
          <t>mult_per_hand</t>
        </is>
      </c>
      <c r="H42" s="2" t="n">
        <v>0.1</v>
      </c>
      <c r="I42" s="4" t="n"/>
      <c r="J42" s="5">
        <f>IF(I42="","",I42/H42)</f>
        <v/>
      </c>
      <c r="K42" s="5" t="n">
        <v>2.69</v>
      </c>
      <c r="L42" s="5" t="n">
        <v>1.96</v>
      </c>
      <c r="M42" s="6" t="n">
        <v>100</v>
      </c>
      <c r="N42" s="3" t="inlineStr">
        <is>
          <t>High</t>
        </is>
      </c>
      <c r="O42" s="4" t="inlineStr"/>
      <c r="P42" s="7" t="inlineStr"/>
      <c r="Q42" s="3" t="inlineStr">
        <is>
          <t>Each hand played permanently adds +{mult_per_hand} mult to this trick</t>
        </is>
      </c>
      <c r="R42" s="2" t="inlineStr"/>
    </row>
    <row r="43">
      <c r="A43" s="2" t="n">
        <v>33</v>
      </c>
      <c r="B43" s="2" t="inlineStr">
        <is>
          <t>Acorns</t>
        </is>
      </c>
      <c r="C43" s="2" t="inlineStr">
        <is>
          <t>acorns</t>
        </is>
      </c>
      <c r="D43" s="2" t="inlineStr">
        <is>
          <t>epic</t>
        </is>
      </c>
      <c r="E43" s="2" t="inlineStr">
        <is>
          <t>Accumulating</t>
        </is>
      </c>
      <c r="F43" s="3" t="inlineStr">
        <is>
          <t>Each card scored scales this trick +0.1 Focus, starting at +0; grants its whole-number Focus each hand</t>
        </is>
      </c>
      <c r="G43" s="2" t="inlineStr">
        <is>
          <t>focus_per_card</t>
        </is>
      </c>
      <c r="H43" s="2" t="n">
        <v>0.1</v>
      </c>
      <c r="I43" s="4" t="n"/>
      <c r="J43" s="5">
        <f>IF(I43="","",I43/H43)</f>
        <v/>
      </c>
      <c r="K43" s="5" t="n"/>
      <c r="L43" s="5" t="n">
        <v>1</v>
      </c>
      <c r="M43" s="6" t="n">
        <v>0</v>
      </c>
      <c r="N43" s="3" t="inlineStr">
        <is>
          <t>pays in Focus</t>
        </is>
      </c>
      <c r="O43" s="4" t="inlineStr"/>
      <c r="P43" s="7" t="inlineStr"/>
      <c r="Q43" s="3" t="inlineStr"/>
      <c r="R43" s="2" t="inlineStr">
        <is>
          <t>focus, scaling</t>
        </is>
      </c>
    </row>
    <row r="44">
      <c r="A44" s="2" t="n">
        <v>34</v>
      </c>
      <c r="B44" s="2" t="inlineStr">
        <is>
          <t>Cloud Nine</t>
        </is>
      </c>
      <c r="C44" s="2" t="inlineStr">
        <is>
          <t>nines_mult</t>
        </is>
      </c>
      <c r="D44" s="2" t="inlineStr">
        <is>
          <t>epic</t>
        </is>
      </c>
      <c r="E44" s="2" t="inlineStr">
        <is>
          <t>Accumulating</t>
        </is>
      </c>
      <c r="F44" s="3" t="inlineStr">
        <is>
          <t>Adds 9 9s to your deck. Each 9 scored adds +2 mult to this trick. A 9 that scores or is discarded is destroyed; when none are left, this trick goes</t>
        </is>
      </c>
      <c r="G44" s="2" t="inlineStr">
        <is>
          <t>mult_per_nine</t>
        </is>
      </c>
      <c r="H44" s="2" t="n">
        <v>2</v>
      </c>
      <c r="I44" s="4" t="n"/>
      <c r="J44" s="5">
        <f>IF(I44="","",I44/H44)</f>
        <v/>
      </c>
      <c r="K44" s="5" t="n">
        <v>12.71</v>
      </c>
      <c r="L44" s="5" t="n">
        <v>5.54</v>
      </c>
      <c r="M44" s="6" t="n">
        <v>100</v>
      </c>
      <c r="N44" s="3" t="inlineStr">
        <is>
          <t>Outlier</t>
        </is>
      </c>
      <c r="O44" s="4" t="inlineStr"/>
      <c r="P44" s="7" t="inlineStr"/>
      <c r="Q44" s="3" t="inlineStr">
        <is>
          <t>Adds {added} 9s to your deck. Each 9 scored adds +{mult_per_nine} mult to this trick. A 9 that scores or is discarded is destroyed; when none are left, this trick goes</t>
        </is>
      </c>
      <c r="R44" s="2" t="inlineStr">
        <is>
          <t>scaling, mult, value</t>
        </is>
      </c>
    </row>
    <row r="45">
      <c r="A45" s="8" t="n"/>
      <c r="B45" s="8" t="inlineStr"/>
      <c r="C45" s="8" t="inlineStr"/>
      <c r="D45" s="8" t="inlineStr"/>
      <c r="E45" s="8" t="inlineStr"/>
      <c r="F45" s="9" t="inlineStr"/>
      <c r="G45" s="8" t="inlineStr">
        <is>
          <t>added</t>
        </is>
      </c>
      <c r="H45" s="8" t="n">
        <v>9</v>
      </c>
      <c r="I45" s="4" t="n"/>
      <c r="J45" s="10">
        <f>IF(I45="","",I45/H45)</f>
        <v/>
      </c>
      <c r="K45" s="10" t="n"/>
      <c r="L45" s="10" t="n"/>
      <c r="M45" s="8" t="n"/>
      <c r="N45" s="9" t="inlineStr"/>
      <c r="O45" s="4" t="inlineStr"/>
      <c r="P45" s="7" t="inlineStr"/>
      <c r="Q45" s="9" t="inlineStr"/>
      <c r="R45" s="8" t="inlineStr"/>
    </row>
    <row r="46">
      <c r="A46" s="2" t="n">
        <v>35</v>
      </c>
      <c r="B46" s="2" t="inlineStr">
        <is>
          <t>D6</t>
        </is>
      </c>
      <c r="C46" s="2" t="inlineStr">
        <is>
          <t>sixes_perm</t>
        </is>
      </c>
      <c r="D46" s="2" t="inlineStr">
        <is>
          <t>epic</t>
        </is>
      </c>
      <c r="E46" s="2" t="inlineStr">
        <is>
          <t>Accumulating</t>
        </is>
      </c>
      <c r="F46" s="3" t="inlineStr">
        <is>
          <t>Every 6th card scored permanently gains a random +1–6 pips</t>
        </is>
      </c>
      <c r="G46" s="2" t="inlineStr">
        <is>
          <t>roll_min</t>
        </is>
      </c>
      <c r="H46" s="2" t="n">
        <v>1</v>
      </c>
      <c r="I46" s="4" t="n"/>
      <c r="J46" s="5">
        <f>IF(I46="","",I46/H46)</f>
        <v/>
      </c>
      <c r="K46" s="5" t="n">
        <v>0.68</v>
      </c>
      <c r="L46" s="5" t="n">
        <v>1.24</v>
      </c>
      <c r="M46" s="6" t="n">
        <v>71</v>
      </c>
      <c r="N46" s="3" t="inlineStr">
        <is>
          <t>Normal</t>
        </is>
      </c>
      <c r="O46" s="4" t="inlineStr"/>
      <c r="P46" s="7" t="inlineStr"/>
      <c r="Q46" s="3" t="inlineStr"/>
      <c r="R46" s="2" t="inlineStr">
        <is>
          <t>scaling, pips, value</t>
        </is>
      </c>
    </row>
    <row r="47">
      <c r="A47" s="8" t="n"/>
      <c r="B47" s="8" t="inlineStr"/>
      <c r="C47" s="8" t="inlineStr"/>
      <c r="D47" s="8" t="inlineStr"/>
      <c r="E47" s="8" t="inlineStr"/>
      <c r="F47" s="9" t="inlineStr"/>
      <c r="G47" s="8" t="inlineStr">
        <is>
          <t>roll_max</t>
        </is>
      </c>
      <c r="H47" s="8" t="n">
        <v>6</v>
      </c>
      <c r="I47" s="4" t="n"/>
      <c r="J47" s="10">
        <f>IF(I47="","",I47/H47)</f>
        <v/>
      </c>
      <c r="K47" s="10" t="n"/>
      <c r="L47" s="10" t="n"/>
      <c r="M47" s="8" t="n"/>
      <c r="N47" s="9" t="inlineStr"/>
      <c r="O47" s="4" t="inlineStr"/>
      <c r="P47" s="7" t="inlineStr"/>
      <c r="Q47" s="9" t="inlineStr"/>
      <c r="R47" s="8" t="inlineStr"/>
    </row>
    <row r="48">
      <c r="A48" s="8" t="n"/>
      <c r="B48" s="8" t="inlineStr"/>
      <c r="C48" s="8" t="inlineStr"/>
      <c r="D48" s="8" t="inlineStr"/>
      <c r="E48" s="8" t="inlineStr"/>
      <c r="F48" s="9" t="inlineStr"/>
      <c r="G48" s="8" t="inlineStr">
        <is>
          <t>interval</t>
        </is>
      </c>
      <c r="H48" s="8" t="n">
        <v>6</v>
      </c>
      <c r="I48" s="4" t="n"/>
      <c r="J48" s="10">
        <f>IF(I48="","",I48/H48)</f>
        <v/>
      </c>
      <c r="K48" s="10" t="n"/>
      <c r="L48" s="10" t="n"/>
      <c r="M48" s="8" t="n"/>
      <c r="N48" s="9" t="inlineStr"/>
      <c r="O48" s="4" t="inlineStr"/>
      <c r="P48" s="7" t="inlineStr"/>
      <c r="Q48" s="9" t="inlineStr"/>
      <c r="R48" s="8" t="inlineStr"/>
    </row>
    <row r="49">
      <c r="A49" s="2" t="n">
        <v>36</v>
      </c>
      <c r="B49" s="2" t="inlineStr">
        <is>
          <t>Royal Favour</t>
        </is>
      </c>
      <c r="C49" s="2" t="inlineStr">
        <is>
          <t>queens_upgrade</t>
        </is>
      </c>
      <c r="D49" s="2" t="inlineStr">
        <is>
          <t>epic</t>
        </is>
      </c>
      <c r="E49" s="2" t="inlineStr">
        <is>
          <t>Accumulating</t>
        </is>
      </c>
      <c r="F49" s="3" t="inlineStr">
        <is>
          <t>Scoring a card adjacent to a Queen permanently increases that card's rank (after it scores). Queens are automatically discarded after they've been on the grid for 45 seconds</t>
        </is>
      </c>
      <c r="G49" s="2" t="inlineStr">
        <is>
          <t>queen_seconds</t>
        </is>
      </c>
      <c r="H49" s="2" t="n">
        <v>45</v>
      </c>
      <c r="I49" s="4" t="n"/>
      <c r="J49" s="5">
        <f>IF(I49="","",I49/H49)</f>
        <v/>
      </c>
      <c r="K49" s="5" t="n"/>
      <c r="L49" s="5" t="n">
        <v>1</v>
      </c>
      <c r="M49" s="6" t="n">
        <v>0</v>
      </c>
      <c r="N49" s="3" t="inlineStr">
        <is>
          <t>Not measured pays in Not measured</t>
        </is>
      </c>
      <c r="O49" s="4" t="inlineStr"/>
      <c r="P49" s="7" t="inlineStr"/>
      <c r="Q49" s="3" t="inlineStr"/>
      <c r="R49" s="2" t="inlineStr">
        <is>
          <t>scaling, grid, value</t>
        </is>
      </c>
    </row>
    <row r="50">
      <c r="A50" s="2" t="n">
        <v>37</v>
      </c>
      <c r="B50" s="2" t="inlineStr">
        <is>
          <t>Dark Matter</t>
        </is>
      </c>
      <c r="C50" s="2" t="inlineStr">
        <is>
          <t>spade_flood</t>
        </is>
      </c>
      <c r="D50" s="2" t="inlineStr">
        <is>
          <t>epic</t>
        </is>
      </c>
      <c r="E50" s="2" t="inlineStr">
        <is>
          <t>Situational</t>
        </is>
      </c>
      <c r="F50" s="3" t="inlineStr">
        <is>
          <t>All-Spade hands add the remaining round time as pips</t>
        </is>
      </c>
      <c r="G50" s="2" t="inlineStr">
        <is>
          <t>time_div</t>
        </is>
      </c>
      <c r="H50" s="2" t="n">
        <v>1</v>
      </c>
      <c r="I50" s="4" t="n"/>
      <c r="J50" s="5">
        <f>IF(I50="","",I50/H50)</f>
        <v/>
      </c>
      <c r="K50" s="5" t="n">
        <v>0.47</v>
      </c>
      <c r="L50" s="5" t="n">
        <v>1.17</v>
      </c>
      <c r="M50" s="6" t="n">
        <v>6</v>
      </c>
      <c r="N50" s="3" t="inlineStr">
        <is>
          <t>Low</t>
        </is>
      </c>
      <c r="O50" s="4" t="inlineStr"/>
      <c r="P50" s="7" t="inlineStr"/>
      <c r="Q50" s="3" t="inlineStr"/>
      <c r="R50" s="2" t="inlineStr">
        <is>
          <t>suit, pips</t>
        </is>
      </c>
    </row>
    <row r="51">
      <c r="A51" s="2" t="n">
        <v>38</v>
      </c>
      <c r="B51" s="2" t="inlineStr">
        <is>
          <t>Move as One</t>
        </is>
      </c>
      <c r="C51" s="2" t="inlineStr">
        <is>
          <t>move_as_one</t>
        </is>
      </c>
      <c r="D51" s="2" t="inlineStr">
        <is>
          <t>epic</t>
        </is>
      </c>
      <c r="E51" s="2" t="inlineStr">
        <is>
          <t>Variety</t>
        </is>
      </c>
      <c r="F51" s="3" t="inlineStr">
        <is>
          <t>If 3+ of your Tricks share a keyword, a random Trick sharing that keyword scores its effect a second time</t>
        </is>
      </c>
      <c r="G51" s="2" t="inlineStr">
        <is>
          <t>(in code, no BAL number)</t>
        </is>
      </c>
      <c r="H51" s="2" t="n"/>
      <c r="I51" s="4" t="n"/>
      <c r="J51" s="5" t="n"/>
      <c r="K51" s="5" t="n">
        <v>-0</v>
      </c>
      <c r="L51" s="5" t="n">
        <v>1</v>
      </c>
      <c r="M51" s="6" t="n">
        <v>10</v>
      </c>
      <c r="N51" s="3" t="inlineStr">
        <is>
          <t>Barely pays</t>
        </is>
      </c>
      <c r="O51" s="4" t="inlineStr"/>
      <c r="P51" s="7" t="inlineStr"/>
      <c r="Q51" s="3" t="inlineStr"/>
      <c r="R51" s="2" t="inlineStr">
        <is>
          <t>synergy</t>
        </is>
      </c>
    </row>
    <row r="52">
      <c r="A52" s="2" t="n">
        <v>39</v>
      </c>
      <c r="B52" s="2" t="inlineStr">
        <is>
          <t>Rain Check</t>
        </is>
      </c>
      <c r="C52" s="2" t="inlineStr">
        <is>
          <t>rain_check</t>
        </is>
      </c>
      <c r="D52" s="2" t="inlineStr">
        <is>
          <t>epic</t>
        </is>
      </c>
      <c r="E52" s="2" t="inlineStr">
        <is>
          <t>Timing</t>
        </is>
      </c>
      <c r="F52" s="3" t="inlineStr">
        <is>
          <t>Skipping a reward: the next round starts with +30s (in Flow, rewind the clock 30s)</t>
        </is>
      </c>
      <c r="G52" s="2" t="inlineStr">
        <is>
          <t>seconds</t>
        </is>
      </c>
      <c r="H52" s="2" t="n">
        <v>30</v>
      </c>
      <c r="I52" s="4" t="n"/>
      <c r="J52" s="5">
        <f>IF(I52="","",I52/H52)</f>
        <v/>
      </c>
      <c r="K52" s="5" t="n"/>
      <c r="L52" s="5" t="n">
        <v>1</v>
      </c>
      <c r="M52" s="6" t="n">
        <v>0</v>
      </c>
      <c r="N52" s="3" t="inlineStr">
        <is>
          <t>pays in Time</t>
        </is>
      </c>
      <c r="O52" s="4" t="inlineStr"/>
      <c r="P52" s="7" t="inlineStr"/>
      <c r="Q52" s="3" t="inlineStr">
        <is>
          <t>Skipping a reward: the next round starts with +{seconds}s (in Flow, rewind the clock {seconds}s)</t>
        </is>
      </c>
      <c r="R52" s="2" t="inlineStr">
        <is>
          <t>time</t>
        </is>
      </c>
    </row>
    <row r="53">
      <c r="A53" s="2" t="n">
        <v>40</v>
      </c>
      <c r="B53" s="2" t="inlineStr">
        <is>
          <t>Temporal Rift</t>
        </is>
      </c>
      <c r="C53" s="2" t="inlineStr">
        <is>
          <t>temporal_rift</t>
        </is>
      </c>
      <c r="D53" s="2" t="inlineStr">
        <is>
          <t>epic</t>
        </is>
      </c>
      <c r="E53" s="2" t="inlineStr">
        <is>
          <t>Position</t>
        </is>
      </c>
      <c r="F53" s="3" t="inlineStr">
        <is>
          <t>A card scored where a row and column effect intersect permanently rewinds the clock 3s when scored (time buffs do not stack)</t>
        </is>
      </c>
      <c r="G53" s="2" t="inlineStr">
        <is>
          <t>rewind</t>
        </is>
      </c>
      <c r="H53" s="2" t="n">
        <v>3</v>
      </c>
      <c r="I53" s="4" t="n"/>
      <c r="J53" s="5">
        <f>IF(I53="","",I53/H53)</f>
        <v/>
      </c>
      <c r="K53" s="5" t="n"/>
      <c r="L53" s="5" t="n">
        <v>1</v>
      </c>
      <c r="M53" s="6" t="n">
        <v>0</v>
      </c>
      <c r="N53" s="3" t="inlineStr">
        <is>
          <t>pays in Time</t>
        </is>
      </c>
      <c r="O53" s="4" t="inlineStr"/>
      <c r="P53" s="7" t="inlineStr"/>
      <c r="Q53" s="3" t="inlineStr">
        <is>
          <t>A card scored where a row and column effect intersect permanently rewinds the clock {rewind}s when scored (time buffs do not stack)</t>
        </is>
      </c>
      <c r="R53" s="2" t="inlineStr">
        <is>
          <t>time, position, scaling</t>
        </is>
      </c>
    </row>
    <row r="54">
      <c r="A54" s="2" t="n">
        <v>41</v>
      </c>
      <c r="B54" s="2" t="inlineStr">
        <is>
          <t>Wait For Iiiit</t>
        </is>
      </c>
      <c r="C54" s="2" t="inlineStr">
        <is>
          <t>wait_for_it</t>
        </is>
      </c>
      <c r="D54" s="2" t="inlineStr">
        <is>
          <t>epic</t>
        </is>
      </c>
      <c r="E54" s="2" t="inlineStr">
        <is>
          <t>Situational</t>
        </is>
      </c>
      <c r="F54" s="3" t="inlineStr">
        <is>
          <t>Each negative reward tile taken this run gives every scored card a +2% chance to replay</t>
        </is>
      </c>
      <c r="G54" s="2" t="inlineStr">
        <is>
          <t>chance_per</t>
        </is>
      </c>
      <c r="H54" s="2" t="n">
        <v>0.02</v>
      </c>
      <c r="I54" s="4" t="n"/>
      <c r="J54" s="5">
        <f>IF(I54="","",I54/H54)</f>
        <v/>
      </c>
      <c r="K54" s="5" t="n"/>
      <c r="L54" s="5" t="n">
        <v>1</v>
      </c>
      <c r="M54" s="6" t="n">
        <v>2</v>
      </c>
      <c r="N54" s="3" t="inlineStr">
        <is>
          <t>Dead in Flow pays in Dead in Flow</t>
        </is>
      </c>
      <c r="O54" s="4" t="inlineStr"/>
      <c r="P54" s="7" t="inlineStr"/>
      <c r="Q54" s="3" t="inlineStr"/>
      <c r="R54" s="2" t="inlineStr">
        <is>
          <t>replay, scaling, risk</t>
        </is>
      </c>
    </row>
    <row r="55">
      <c r="A55" s="2" t="n">
        <v>42</v>
      </c>
      <c r="B55" s="2" t="inlineStr">
        <is>
          <t>Kaleidoscope</t>
        </is>
      </c>
      <c r="C55" s="2" t="inlineStr">
        <is>
          <t>kaleidoscope</t>
        </is>
      </c>
      <c r="D55" s="2" t="inlineStr">
        <is>
          <t>epic</t>
        </is>
      </c>
      <c r="E55" s="2" t="inlineStr">
        <is>
          <t>Focus</t>
        </is>
      </c>
      <c r="F55" s="3" t="inlineStr">
        <is>
          <t>Apply the Focus multiplier a number of times equal to the number of suits in the hand</t>
        </is>
      </c>
      <c r="G55" s="2" t="inlineStr">
        <is>
          <t>(in code, no BAL number)</t>
        </is>
      </c>
      <c r="H55" s="2" t="n"/>
      <c r="I55" s="4" t="n"/>
      <c r="J55" s="5" t="n"/>
      <c r="K55" s="5" t="n">
        <v>0.01</v>
      </c>
      <c r="L55" s="5" t="n">
        <v>1</v>
      </c>
      <c r="M55" s="6" t="n">
        <v>1</v>
      </c>
      <c r="N55" s="3" t="inlineStr">
        <is>
          <t>Low</t>
        </is>
      </c>
      <c r="O55" s="4" t="inlineStr"/>
      <c r="P55" s="7" t="inlineStr"/>
      <c r="Q55" s="3" t="inlineStr"/>
      <c r="R55" s="2" t="inlineStr">
        <is>
          <t>focus</t>
        </is>
      </c>
    </row>
    <row r="56">
      <c r="A56" s="2" t="n">
        <v>43</v>
      </c>
      <c r="B56" s="2" t="inlineStr">
        <is>
          <t>Heartwood</t>
        </is>
      </c>
      <c r="C56" s="2" t="inlineStr">
        <is>
          <t>heartwood</t>
        </is>
      </c>
      <c r="D56" s="2" t="inlineStr">
        <is>
          <t>epic</t>
        </is>
      </c>
      <c r="E56" s="2" t="inlineStr">
        <is>
          <t>Misc</t>
        </is>
      </c>
      <c r="F56" s="3" t="inlineStr">
        <is>
          <t>When scored, the center-most card gains +5 pips &amp; +2 mult</t>
        </is>
      </c>
      <c r="G56" s="2" t="inlineStr">
        <is>
          <t>pips</t>
        </is>
      </c>
      <c r="H56" s="2" t="n">
        <v>5</v>
      </c>
      <c r="I56" s="4" t="n"/>
      <c r="J56" s="5">
        <f>IF(I56="","",I56/H56)</f>
        <v/>
      </c>
      <c r="K56" s="5" t="n">
        <v>0.8100000000000001</v>
      </c>
      <c r="L56" s="5" t="n">
        <v>1.29</v>
      </c>
      <c r="M56" s="6" t="n">
        <v>41</v>
      </c>
      <c r="N56" s="3" t="inlineStr">
        <is>
          <t>Normal</t>
        </is>
      </c>
      <c r="O56" s="4" t="inlineStr"/>
      <c r="P56" s="7" t="inlineStr"/>
      <c r="Q56" s="3" t="inlineStr">
        <is>
          <t>When scored, the center-most card gains +{pips} pips &amp; +{mult} mult</t>
        </is>
      </c>
      <c r="R56" s="2" t="inlineStr"/>
    </row>
    <row r="57">
      <c r="A57" s="8" t="n"/>
      <c r="B57" s="8" t="inlineStr"/>
      <c r="C57" s="8" t="inlineStr"/>
      <c r="D57" s="8" t="inlineStr"/>
      <c r="E57" s="8" t="inlineStr"/>
      <c r="F57" s="9" t="inlineStr"/>
      <c r="G57" s="8" t="inlineStr">
        <is>
          <t>mult</t>
        </is>
      </c>
      <c r="H57" s="8" t="n">
        <v>2</v>
      </c>
      <c r="I57" s="4" t="n"/>
      <c r="J57" s="10">
        <f>IF(I57="","",I57/H57)</f>
        <v/>
      </c>
      <c r="K57" s="10" t="n"/>
      <c r="L57" s="10" t="n"/>
      <c r="M57" s="8" t="n"/>
      <c r="N57" s="9" t="inlineStr"/>
      <c r="O57" s="4" t="inlineStr"/>
      <c r="P57" s="7" t="inlineStr"/>
      <c r="Q57" s="9" t="inlineStr"/>
      <c r="R57" s="8" t="inlineStr"/>
    </row>
    <row r="58">
      <c r="A58" s="2" t="n">
        <v>44</v>
      </c>
      <c r="B58" s="2" t="inlineStr">
        <is>
          <t>Landfill</t>
        </is>
      </c>
      <c r="C58" s="2" t="inlineStr">
        <is>
          <t>landfill</t>
        </is>
      </c>
      <c r="D58" s="2" t="inlineStr">
        <is>
          <t>epic</t>
        </is>
      </c>
      <c r="E58" s="2" t="inlineStr">
        <is>
          <t>Discards</t>
        </is>
      </c>
      <c r="F58" s="3" t="inlineStr">
        <is>
          <t>Score +1 mult per card for every discard or swap used this round</t>
        </is>
      </c>
      <c r="G58" s="2" t="inlineStr">
        <is>
          <t>mult_per</t>
        </is>
      </c>
      <c r="H58" s="2" t="n">
        <v>1</v>
      </c>
      <c r="I58" s="4" t="n"/>
      <c r="J58" s="5">
        <f>IF(I58="","",I58/H58)</f>
        <v/>
      </c>
      <c r="K58" s="5" t="n">
        <v>1.42</v>
      </c>
      <c r="L58" s="5" t="n">
        <v>1.51</v>
      </c>
      <c r="M58" s="6" t="n">
        <v>57</v>
      </c>
      <c r="N58" s="3" t="inlineStr">
        <is>
          <t>Normal</t>
        </is>
      </c>
      <c r="O58" s="4" t="inlineStr"/>
      <c r="P58" s="7" t="inlineStr"/>
      <c r="Q58" s="3" t="inlineStr"/>
      <c r="R58" s="2" t="inlineStr">
        <is>
          <t>discard, mult</t>
        </is>
      </c>
    </row>
    <row r="59">
      <c r="A59" s="2" t="n">
        <v>45</v>
      </c>
      <c r="B59" s="2" t="inlineStr">
        <is>
          <t>Four Horse-man</t>
        </is>
      </c>
      <c r="C59" s="2" t="inlineStr">
        <is>
          <t>four_horseman</t>
        </is>
      </c>
      <c r="D59" s="2" t="inlineStr">
        <is>
          <t>epic</t>
        </is>
      </c>
      <c r="E59" s="2" t="inlineStr">
        <is>
          <t>4-card hands</t>
        </is>
      </c>
      <c r="F59" s="3" t="inlineStr">
        <is>
          <t>4-card hands grant a random bonus: +16 pips, +8 mult, +4 Focus, or pause the clock for 4s</t>
        </is>
      </c>
      <c r="G59" s="2" t="inlineStr">
        <is>
          <t>pips</t>
        </is>
      </c>
      <c r="H59" s="2" t="n">
        <v>16</v>
      </c>
      <c r="I59" s="4" t="n"/>
      <c r="J59" s="5">
        <f>IF(I59="","",I59/H59)</f>
        <v/>
      </c>
      <c r="K59" s="5" t="n">
        <v>0.47</v>
      </c>
      <c r="L59" s="5" t="n">
        <v>1.17</v>
      </c>
      <c r="M59" s="6" t="n">
        <v>30</v>
      </c>
      <c r="N59" s="3" t="inlineStr">
        <is>
          <t>Low</t>
        </is>
      </c>
      <c r="O59" s="4" t="inlineStr"/>
      <c r="P59" s="7" t="inlineStr"/>
      <c r="Q59" s="3" t="inlineStr">
        <is>
          <t>4-card hands grant a random bonus: +{pips} pips, +{mult} mult, +{focus} Focus, or pause the clock for {pause}s</t>
        </is>
      </c>
      <c r="R59" s="2" t="inlineStr">
        <is>
          <t>pips, mult, focus, time</t>
        </is>
      </c>
    </row>
    <row r="60">
      <c r="A60" s="8" t="n"/>
      <c r="B60" s="8" t="inlineStr"/>
      <c r="C60" s="8" t="inlineStr"/>
      <c r="D60" s="8" t="inlineStr"/>
      <c r="E60" s="8" t="inlineStr"/>
      <c r="F60" s="9" t="inlineStr"/>
      <c r="G60" s="8" t="inlineStr">
        <is>
          <t>mult</t>
        </is>
      </c>
      <c r="H60" s="8" t="n">
        <v>8</v>
      </c>
      <c r="I60" s="4" t="n"/>
      <c r="J60" s="10">
        <f>IF(I60="","",I60/H60)</f>
        <v/>
      </c>
      <c r="K60" s="10" t="n"/>
      <c r="L60" s="10" t="n"/>
      <c r="M60" s="8" t="n"/>
      <c r="N60" s="9" t="inlineStr"/>
      <c r="O60" s="4" t="inlineStr"/>
      <c r="P60" s="7" t="inlineStr"/>
      <c r="Q60" s="9" t="inlineStr"/>
      <c r="R60" s="8" t="inlineStr"/>
    </row>
    <row r="61">
      <c r="A61" s="8" t="n"/>
      <c r="B61" s="8" t="inlineStr"/>
      <c r="C61" s="8" t="inlineStr"/>
      <c r="D61" s="8" t="inlineStr"/>
      <c r="E61" s="8" t="inlineStr"/>
      <c r="F61" s="9" t="inlineStr"/>
      <c r="G61" s="8" t="inlineStr">
        <is>
          <t>focus</t>
        </is>
      </c>
      <c r="H61" s="8" t="n">
        <v>4</v>
      </c>
      <c r="I61" s="4" t="n"/>
      <c r="J61" s="10">
        <f>IF(I61="","",I61/H61)</f>
        <v/>
      </c>
      <c r="K61" s="10" t="n"/>
      <c r="L61" s="10" t="n"/>
      <c r="M61" s="8" t="n"/>
      <c r="N61" s="9" t="inlineStr"/>
      <c r="O61" s="4" t="inlineStr"/>
      <c r="P61" s="7" t="inlineStr"/>
      <c r="Q61" s="9" t="inlineStr"/>
      <c r="R61" s="8" t="inlineStr"/>
    </row>
    <row r="62">
      <c r="A62" s="8" t="n"/>
      <c r="B62" s="8" t="inlineStr"/>
      <c r="C62" s="8" t="inlineStr"/>
      <c r="D62" s="8" t="inlineStr"/>
      <c r="E62" s="8" t="inlineStr"/>
      <c r="F62" s="9" t="inlineStr"/>
      <c r="G62" s="8" t="inlineStr">
        <is>
          <t>pause</t>
        </is>
      </c>
      <c r="H62" s="8" t="n">
        <v>4</v>
      </c>
      <c r="I62" s="4" t="n"/>
      <c r="J62" s="10">
        <f>IF(I62="","",I62/H62)</f>
        <v/>
      </c>
      <c r="K62" s="10" t="n"/>
      <c r="L62" s="10" t="n"/>
      <c r="M62" s="8" t="n"/>
      <c r="N62" s="9" t="inlineStr"/>
      <c r="O62" s="4" t="inlineStr"/>
      <c r="P62" s="7" t="inlineStr"/>
      <c r="Q62" s="9" t="inlineStr"/>
      <c r="R62" s="8" t="inlineStr"/>
    </row>
    <row r="63">
      <c r="A63" s="2" t="n">
        <v>46</v>
      </c>
      <c r="B63" s="2" t="inlineStr">
        <is>
          <t>Undue Influence</t>
        </is>
      </c>
      <c r="C63" s="2" t="inlineStr">
        <is>
          <t>undue_influence</t>
        </is>
      </c>
      <c r="D63" s="2" t="inlineStr">
        <is>
          <t>epic</t>
        </is>
      </c>
      <c r="E63" s="2" t="inlineStr">
        <is>
          <t>Pairs / sets</t>
        </is>
      </c>
      <c r="F63" s="3" t="inlineStr">
        <is>
          <t>A Set containing a face card grants credits equal to the number of Set hands you have played this round</t>
        </is>
      </c>
      <c r="G63" s="2" t="inlineStr">
        <is>
          <t>(in code, no BAL number)</t>
        </is>
      </c>
      <c r="H63" s="2" t="n"/>
      <c r="I63" s="4" t="n"/>
      <c r="J63" s="5" t="n"/>
      <c r="K63" s="5" t="n"/>
      <c r="L63" s="5" t="n">
        <v>1</v>
      </c>
      <c r="M63" s="6" t="n">
        <v>0</v>
      </c>
      <c r="N63" s="3" t="inlineStr">
        <is>
          <t>pays in Credits / stock</t>
        </is>
      </c>
      <c r="O63" s="4" t="inlineStr"/>
      <c r="P63" s="7" t="inlineStr"/>
      <c r="Q63" s="3" t="inlineStr"/>
      <c r="R63" s="2" t="inlineStr">
        <is>
          <t>credits, set</t>
        </is>
      </c>
    </row>
    <row r="64">
      <c r="A64" s="2" t="n">
        <v>47</v>
      </c>
      <c r="B64" s="2" t="inlineStr">
        <is>
          <t>Encore</t>
        </is>
      </c>
      <c r="C64" s="2" t="inlineStr">
        <is>
          <t>encore</t>
        </is>
      </c>
      <c r="D64" s="2" t="inlineStr">
        <is>
          <t>epic</t>
        </is>
      </c>
      <c r="E64" s="2" t="inlineStr">
        <is>
          <t>Pairs / sets</t>
        </is>
      </c>
      <c r="F64" s="3" t="inlineStr">
        <is>
          <t>Odd-ranked cards in a set replay once</t>
        </is>
      </c>
      <c r="G64" s="2" t="inlineStr">
        <is>
          <t>(in code, no BAL number)</t>
        </is>
      </c>
      <c r="H64" s="2" t="n"/>
      <c r="I64" s="4" t="n"/>
      <c r="J64" s="5" t="n"/>
      <c r="K64" s="5" t="n">
        <v>1.3</v>
      </c>
      <c r="L64" s="5" t="n">
        <v>1.46</v>
      </c>
      <c r="M64" s="6" t="n">
        <v>41</v>
      </c>
      <c r="N64" s="3" t="inlineStr">
        <is>
          <t>High</t>
        </is>
      </c>
      <c r="O64" s="4" t="inlineStr"/>
      <c r="P64" s="7" t="inlineStr"/>
      <c r="Q64" s="3" t="inlineStr"/>
      <c r="R64" s="2" t="inlineStr">
        <is>
          <t>replay, set</t>
        </is>
      </c>
    </row>
    <row r="65">
      <c r="A65" s="2" t="n">
        <v>48</v>
      </c>
      <c r="B65" s="2" t="inlineStr">
        <is>
          <t>Patient Rulers</t>
        </is>
      </c>
      <c r="C65" s="2" t="inlineStr">
        <is>
          <t>patient_rulers</t>
        </is>
      </c>
      <c r="D65" s="2" t="inlineStr">
        <is>
          <t>epic</t>
        </is>
      </c>
      <c r="E65" s="2" t="inlineStr">
        <is>
          <t>Multipliers</t>
        </is>
      </c>
      <c r="F65" s="3" t="inlineStr">
        <is>
          <t>If you have paused or rewound the clock this round, face cards score x1.5 mult</t>
        </is>
      </c>
      <c r="G65" s="2" t="inlineStr">
        <is>
          <t>mult_mult</t>
        </is>
      </c>
      <c r="H65" s="2" t="n">
        <v>1.5</v>
      </c>
      <c r="I65" s="4" t="n"/>
      <c r="J65" s="5">
        <f>IF(I65="","",I65/H65)</f>
        <v/>
      </c>
      <c r="K65" s="5" t="n">
        <v>0</v>
      </c>
      <c r="L65" s="5" t="n">
        <v>1</v>
      </c>
      <c r="M65" s="6" t="n">
        <v>0</v>
      </c>
      <c r="N65" s="3" t="inlineStr">
        <is>
          <t>Barely pays</t>
        </is>
      </c>
      <c r="O65" s="4" t="inlineStr"/>
      <c r="P65" s="7" t="inlineStr"/>
      <c r="Q65" s="3" t="inlineStr"/>
      <c r="R65" s="2" t="inlineStr">
        <is>
          <t>mult, face, pause</t>
        </is>
      </c>
    </row>
    <row r="66">
      <c r="A66" s="2" t="n">
        <v>49</v>
      </c>
      <c r="B66" s="2" t="inlineStr">
        <is>
          <t>Even Better</t>
        </is>
      </c>
      <c r="C66" s="2" t="inlineStr">
        <is>
          <t>even_better</t>
        </is>
      </c>
      <c r="D66" s="2" t="inlineStr">
        <is>
          <t>epic</t>
        </is>
      </c>
      <c r="E66" s="2" t="inlineStr">
        <is>
          <t>Multipliers</t>
        </is>
      </c>
      <c r="F66" s="3" t="inlineStr">
        <is>
          <t>Even-ranked cards have a 66% chance to score x2.2 pips</t>
        </is>
      </c>
      <c r="G66" s="2" t="inlineStr">
        <is>
          <t>chance</t>
        </is>
      </c>
      <c r="H66" s="2" t="n">
        <v>0.66</v>
      </c>
      <c r="I66" s="4" t="n"/>
      <c r="J66" s="5">
        <f>IF(I66="","",I66/H66)</f>
        <v/>
      </c>
      <c r="K66" s="5" t="n">
        <v>0.55</v>
      </c>
      <c r="L66" s="5" t="n">
        <v>1.2</v>
      </c>
      <c r="M66" s="6" t="n">
        <v>47</v>
      </c>
      <c r="N66" s="3" t="inlineStr">
        <is>
          <t>Low</t>
        </is>
      </c>
      <c r="O66" s="4" t="inlineStr"/>
      <c r="P66" s="7" t="inlineStr"/>
      <c r="Q66" s="3" t="inlineStr"/>
      <c r="R66" s="2" t="inlineStr">
        <is>
          <t>pips, value, luck</t>
        </is>
      </c>
    </row>
    <row r="67">
      <c r="A67" s="8" t="n"/>
      <c r="B67" s="8" t="inlineStr"/>
      <c r="C67" s="8" t="inlineStr"/>
      <c r="D67" s="8" t="inlineStr"/>
      <c r="E67" s="8" t="inlineStr"/>
      <c r="F67" s="9" t="inlineStr"/>
      <c r="G67" s="8" t="inlineStr">
        <is>
          <t>pip_mult</t>
        </is>
      </c>
      <c r="H67" s="8" t="n">
        <v>2.2</v>
      </c>
      <c r="I67" s="4" t="n"/>
      <c r="J67" s="10">
        <f>IF(I67="","",I67/H67)</f>
        <v/>
      </c>
      <c r="K67" s="10" t="n"/>
      <c r="L67" s="10" t="n"/>
      <c r="M67" s="8" t="n"/>
      <c r="N67" s="9" t="inlineStr"/>
      <c r="O67" s="4" t="inlineStr"/>
      <c r="P67" s="7" t="inlineStr"/>
      <c r="Q67" s="9" t="inlineStr"/>
      <c r="R67" s="8" t="inlineStr"/>
    </row>
    <row r="68">
      <c r="A68" s="2" t="n">
        <v>50</v>
      </c>
      <c r="B68" s="2" t="inlineStr">
        <is>
          <t>What are The Odds</t>
        </is>
      </c>
      <c r="C68" s="2" t="inlineStr">
        <is>
          <t>what_odds</t>
        </is>
      </c>
      <c r="D68" s="2" t="inlineStr">
        <is>
          <t>epic</t>
        </is>
      </c>
      <c r="E68" s="2" t="inlineStr">
        <is>
          <t>Multipliers</t>
        </is>
      </c>
      <c r="F68" s="3" t="inlineStr">
        <is>
          <t>Odd-ranked cards score x1.7 mult</t>
        </is>
      </c>
      <c r="G68" s="2" t="inlineStr">
        <is>
          <t>mult_mult</t>
        </is>
      </c>
      <c r="H68" s="2" t="n">
        <v>1.7</v>
      </c>
      <c r="I68" s="4" t="n"/>
      <c r="J68" s="5">
        <f>IF(I68="","",I68/H68)</f>
        <v/>
      </c>
      <c r="K68" s="5" t="n">
        <v>1.27</v>
      </c>
      <c r="L68" s="5" t="n">
        <v>1.46</v>
      </c>
      <c r="M68" s="6" t="n">
        <v>66</v>
      </c>
      <c r="N68" s="3" t="inlineStr">
        <is>
          <t>Outlier</t>
        </is>
      </c>
      <c r="O68" s="4" t="inlineStr"/>
      <c r="P68" s="7" t="inlineStr"/>
      <c r="Q68" s="3" t="inlineStr"/>
      <c r="R68" s="2" t="inlineStr">
        <is>
          <t>mult, value</t>
        </is>
      </c>
    </row>
    <row r="69">
      <c r="A69" s="2" t="n">
        <v>51</v>
      </c>
      <c r="B69" s="2" t="inlineStr">
        <is>
          <t>Critical</t>
        </is>
      </c>
      <c r="C69" s="2" t="inlineStr">
        <is>
          <t>critical</t>
        </is>
      </c>
      <c r="D69" s="2" t="inlineStr">
        <is>
          <t>epic</t>
        </is>
      </c>
      <c r="E69" s="2" t="inlineStr">
        <is>
          <t>Multipliers</t>
        </is>
      </c>
      <c r="F69" s="3" t="inlineStr">
        <is>
          <t>Flush type hands score x3 mult</t>
        </is>
      </c>
      <c r="G69" s="2" t="inlineStr">
        <is>
          <t>mult_mult</t>
        </is>
      </c>
      <c r="H69" s="2" t="n">
        <v>3</v>
      </c>
      <c r="I69" s="4" t="n"/>
      <c r="J69" s="5">
        <f>IF(I69="","",I69/H69)</f>
        <v/>
      </c>
      <c r="K69" s="5" t="n">
        <v>0.01</v>
      </c>
      <c r="L69" s="5" t="n">
        <v>1</v>
      </c>
      <c r="M69" s="6" t="n">
        <v>17</v>
      </c>
      <c r="N69" s="3" t="inlineStr">
        <is>
          <t>Normal</t>
        </is>
      </c>
      <c r="O69" s="4" t="inlineStr"/>
      <c r="P69" s="7" t="inlineStr"/>
      <c r="Q69" s="3" t="inlineStr"/>
      <c r="R69" s="2" t="inlineStr">
        <is>
          <t>mult, flush</t>
        </is>
      </c>
    </row>
    <row r="70">
      <c r="A70" s="2" t="n">
        <v>52</v>
      </c>
      <c r="B70" s="2" t="inlineStr">
        <is>
          <t>Twinners</t>
        </is>
      </c>
      <c r="C70" s="2" t="inlineStr">
        <is>
          <t>twinners</t>
        </is>
      </c>
      <c r="D70" s="2" t="inlineStr">
        <is>
          <t>epic</t>
        </is>
      </c>
      <c r="E70" s="2" t="inlineStr">
        <is>
          <t>Multipliers</t>
        </is>
      </c>
      <c r="F70" s="3" t="inlineStr">
        <is>
          <t>Set type hands score x3 pips</t>
        </is>
      </c>
      <c r="G70" s="2" t="inlineStr">
        <is>
          <t>pip_mult</t>
        </is>
      </c>
      <c r="H70" s="2" t="n">
        <v>3</v>
      </c>
      <c r="I70" s="4" t="n"/>
      <c r="J70" s="5">
        <f>IF(I70="","",I70/H70)</f>
        <v/>
      </c>
      <c r="K70" s="5" t="n">
        <v>4.02</v>
      </c>
      <c r="L70" s="5" t="n">
        <v>2.44</v>
      </c>
      <c r="M70" s="6" t="n">
        <v>81</v>
      </c>
      <c r="N70" s="3" t="inlineStr">
        <is>
          <t>Outlier</t>
        </is>
      </c>
      <c r="O70" s="4" t="inlineStr"/>
      <c r="P70" s="7" t="inlineStr"/>
      <c r="Q70" s="3" t="inlineStr"/>
      <c r="R70" s="2" t="inlineStr">
        <is>
          <t>pips, set</t>
        </is>
      </c>
    </row>
    <row r="71">
      <c r="A71" s="2" t="n">
        <v>53</v>
      </c>
      <c r="B71" s="2" t="inlineStr">
        <is>
          <t>Feelin Lucky</t>
        </is>
      </c>
      <c r="C71" s="2" t="inlineStr">
        <is>
          <t>feelin_lucky</t>
        </is>
      </c>
      <c r="D71" s="2" t="inlineStr">
        <is>
          <t>epic</t>
        </is>
      </c>
      <c r="E71" s="2" t="inlineStr">
        <is>
          <t>Multipliers</t>
        </is>
      </c>
      <c r="F71" s="3" t="inlineStr">
        <is>
          <t>Five randomly rolled ranks score x1.25 mult. Trying to sell this costs 30% of your credits and rerolls the ranks instead - 3 times, then it really sells</t>
        </is>
      </c>
      <c r="G71" s="2" t="inlineStr">
        <is>
          <t>mult_mult</t>
        </is>
      </c>
      <c r="H71" s="2" t="n">
        <v>1.25</v>
      </c>
      <c r="I71" s="4" t="n"/>
      <c r="J71" s="5">
        <f>IF(I71="","",I71/H71)</f>
        <v/>
      </c>
      <c r="K71" s="5" t="n">
        <v>0.42</v>
      </c>
      <c r="L71" s="5" t="n">
        <v>1.15</v>
      </c>
      <c r="M71" s="6" t="n">
        <v>64</v>
      </c>
      <c r="N71" s="3" t="inlineStr">
        <is>
          <t>Normal</t>
        </is>
      </c>
      <c r="O71" s="4" t="inlineStr"/>
      <c r="P71" s="7" t="inlineStr"/>
      <c r="Q71" s="3" t="inlineStr"/>
      <c r="R71" s="2" t="inlineStr">
        <is>
          <t>mult, value, luck</t>
        </is>
      </c>
    </row>
    <row r="72">
      <c r="A72" s="8" t="n"/>
      <c r="B72" s="8" t="inlineStr"/>
      <c r="C72" s="8" t="inlineStr"/>
      <c r="D72" s="8" t="inlineStr"/>
      <c r="E72" s="8" t="inlineStr"/>
      <c r="F72" s="9" t="inlineStr"/>
      <c r="G72" s="8" t="inlineStr">
        <is>
          <t>ranks</t>
        </is>
      </c>
      <c r="H72" s="8" t="n">
        <v>5</v>
      </c>
      <c r="I72" s="4" t="n"/>
      <c r="J72" s="10">
        <f>IF(I72="","",I72/H72)</f>
        <v/>
      </c>
      <c r="K72" s="10" t="n"/>
      <c r="L72" s="10" t="n"/>
      <c r="M72" s="8" t="n"/>
      <c r="N72" s="9" t="inlineStr"/>
      <c r="O72" s="4" t="inlineStr"/>
      <c r="P72" s="7" t="inlineStr"/>
      <c r="Q72" s="9" t="inlineStr"/>
      <c r="R72" s="8" t="inlineStr"/>
    </row>
    <row r="73">
      <c r="A73" s="8" t="n"/>
      <c r="B73" s="8" t="inlineStr"/>
      <c r="C73" s="8" t="inlineStr"/>
      <c r="D73" s="8" t="inlineStr"/>
      <c r="E73" s="8" t="inlineStr"/>
      <c r="F73" s="9" t="inlineStr"/>
      <c r="G73" s="8" t="inlineStr">
        <is>
          <t>sell_cost_share</t>
        </is>
      </c>
      <c r="H73" s="8" t="n">
        <v>0.3</v>
      </c>
      <c r="I73" s="4" t="n"/>
      <c r="J73" s="10">
        <f>IF(I73="","",I73/H73)</f>
        <v/>
      </c>
      <c r="K73" s="10" t="n"/>
      <c r="L73" s="10" t="n"/>
      <c r="M73" s="8" t="n"/>
      <c r="N73" s="9" t="inlineStr"/>
      <c r="O73" s="4" t="inlineStr"/>
      <c r="P73" s="7" t="inlineStr"/>
      <c r="Q73" s="9" t="inlineStr"/>
      <c r="R73" s="8" t="inlineStr"/>
    </row>
    <row r="74">
      <c r="A74" s="8" t="n"/>
      <c r="B74" s="8" t="inlineStr"/>
      <c r="C74" s="8" t="inlineStr"/>
      <c r="D74" s="8" t="inlineStr"/>
      <c r="E74" s="8" t="inlineStr"/>
      <c r="F74" s="9" t="inlineStr"/>
      <c r="G74" s="8" t="inlineStr">
        <is>
          <t>rerolls</t>
        </is>
      </c>
      <c r="H74" s="8" t="n">
        <v>3</v>
      </c>
      <c r="I74" s="4" t="n"/>
      <c r="J74" s="10">
        <f>IF(I74="","",I74/H74)</f>
        <v/>
      </c>
      <c r="K74" s="10" t="n"/>
      <c r="L74" s="10" t="n"/>
      <c r="M74" s="8" t="n"/>
      <c r="N74" s="9" t="inlineStr"/>
      <c r="O74" s="4" t="inlineStr"/>
      <c r="P74" s="7" t="inlineStr"/>
      <c r="Q74" s="9" t="inlineStr"/>
      <c r="R74" s="8" t="inlineStr"/>
    </row>
    <row r="75">
      <c r="A75" s="2" t="n">
        <v>54</v>
      </c>
      <c r="B75" s="2" t="inlineStr">
        <is>
          <t>Marathon</t>
        </is>
      </c>
      <c r="C75" s="2" t="inlineStr">
        <is>
          <t>marathon</t>
        </is>
      </c>
      <c r="D75" s="2" t="inlineStr">
        <is>
          <t>epic</t>
        </is>
      </c>
      <c r="E75" s="2" t="inlineStr">
        <is>
          <t>Multipliers</t>
        </is>
      </c>
      <c r="F75" s="3" t="inlineStr">
        <is>
          <t>Run type hands apply the Focus multiplier twice</t>
        </is>
      </c>
      <c r="G75" s="2" t="inlineStr">
        <is>
          <t>(in code, no BAL number)</t>
        </is>
      </c>
      <c r="H75" s="2" t="n"/>
      <c r="I75" s="4" t="n"/>
      <c r="J75" s="5" t="n"/>
      <c r="K75" s="5" t="n">
        <v>0.26</v>
      </c>
      <c r="L75" s="5" t="n">
        <v>1.09</v>
      </c>
      <c r="M75" s="6" t="n">
        <v>20</v>
      </c>
      <c r="N75" s="3" t="inlineStr">
        <is>
          <t>Low</t>
        </is>
      </c>
      <c r="O75" s="4" t="inlineStr"/>
      <c r="P75" s="7" t="inlineStr"/>
      <c r="Q75" s="3" t="inlineStr"/>
      <c r="R75" s="2" t="inlineStr">
        <is>
          <t>focus, run</t>
        </is>
      </c>
    </row>
  </sheetData>
  <autoFilter ref="A1:R75"/>
  <dataValidations count="1">
    <dataValidation sqref="O2:O75" showDropDown="0" showInputMessage="0" showErrorMessage="0" allowBlank="1" type="list">
      <formula1>"KEEP,UP,EDIT,CUT"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Trick balance sheet</t>
        </is>
      </c>
    </row>
    <row r="2">
      <c r="A2" s="12" t="inlineStr">
        <is>
          <t>Build: 2026-10-21 · r624 · The owner's rare Trick pass: numbers, six custom improvement ladders, Heron, Resonance, Kaleidoscope, Woodpecker, Crossroads, Perfect Ten, chance counts on chips, unplayable-hand Tricks offered less</t>
        </is>
      </c>
    </row>
    <row r="3">
      <c r="A3" s="12" t="inlineStr">
        <is>
          <t>Tier: epic · 54 Tricks</t>
        </is>
      </c>
    </row>
    <row r="4">
      <c r="A4" s="12" t="inlineStr"/>
    </row>
    <row r="5">
      <c r="A5" s="12" t="inlineStr">
        <is>
          <t>Yellow columns are yours. Everything else is read from the game as it ships.</t>
        </is>
      </c>
    </row>
    <row r="6">
      <c r="A6" s="12" t="inlineStr"/>
    </row>
    <row r="7">
      <c r="A7" s="11" t="inlineStr">
        <is>
          <t>Number / Now</t>
        </is>
      </c>
    </row>
    <row r="8">
      <c r="A8" s="12" t="inlineStr">
        <is>
          <t>The Trick's tunable in BAL (js/data/balance.js) and its shipped value. A Trick with two numbers has two rows. "(in code)" means the value is typed into the scoring code, not BAL: changing it is a code edit.</t>
        </is>
      </c>
    </row>
    <row r="9">
      <c r="A9" s="11" t="inlineStr">
        <is>
          <t>NEW VALUE / x factor</t>
        </is>
      </c>
    </row>
    <row r="10">
      <c r="A10" s="12" t="inlineStr">
        <is>
          <t>Type the new number. x factor works itself out (new / now). To scale the whole tier the same way, type the factor into a spare cell and set NEW VALUE to =H2*that.</t>
        </is>
      </c>
    </row>
    <row r="11">
      <c r="A11" s="11" t="inlineStr">
        <is>
          <t>Share of score</t>
        </is>
      </c>
    </row>
    <row r="12">
      <c r="A12" s="12" t="inlineStr">
        <is>
          <t>From the Trick audit sim (tools/sim/trick-audit.js, card ladder scoring, Flow level 12): how much of the score a random 5-Trick loadout owes to this Trick, as a multiple of the average Trick. 1.0 = an average Trick; 2.0 = twice the average; 0.3 = barely felt. Blank = the audit does not measure it (it pays in Focus, time or credits, or needs something the sim has no model of).</t>
        </is>
      </c>
    </row>
    <row r="13">
      <c r="A13" s="11" t="inlineStr">
        <is>
          <t>x on a hand</t>
        </is>
      </c>
    </row>
    <row r="14">
      <c r="A14" s="12" t="inlineStr">
        <is>
          <t>How much bigger a hand is with the Trick than without it, averaged over every hand the bot played (1.00 = no change). Fires % is the share of hands it paid on at all.</t>
        </is>
      </c>
    </row>
    <row r="15">
      <c r="A15" s="11" t="inlineStr">
        <is>
          <t>Verdict</t>
        </is>
      </c>
    </row>
    <row r="16">
      <c r="A16" s="12" t="inlineStr">
        <is>
          <t>KEEP / UP / EDIT / CUT. UP means "the number goes up, nothing else changes".</t>
        </is>
      </c>
    </row>
    <row r="17">
      <c r="A17" s="11" t="inlineStr">
        <is>
          <t>Trick tour</t>
        </is>
      </c>
    </row>
    <row r="18">
      <c r="A18" s="12" t="inlineStr">
        <is>
          <t>index.html?tricks opens the common Tricks one by one on a live board; its number boxes write the same BAL value, so a new number can be felt before it goes in the sheet. COPY ALL there prints old -&gt; new per Trick.</t>
        </is>
      </c>
    </row>
    <row r="19">
      <c r="A19" s="11" t="inlineStr">
        <is>
          <t>Applying the sheet</t>
        </is>
      </c>
    </row>
    <row r="20">
      <c r="A20" s="12" t="inlineStr">
        <is>
          <t>Hand the sheet back; the numbers go into js/data/balance.js (BAL) by id and key, the descriptions regenerate from DESC_TEMPLATES.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2026-10-21T15:43:01Z</dcterms:created>
  <dcterms:modified xmlns:dcterms="http://purl.org/dc/terms/" xmlns:xsi="http://www.w3.org/2001/XMLSchema-instance" xsi:type="dcterms:W3CDTF">2026-10-21T15:43:01Z</dcterms:modified>
</cp:coreProperties>
</file>