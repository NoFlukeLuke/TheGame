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 Trick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'Common Tricks'!$A$1:$R$54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2B2440"/>
      </patternFill>
    </fill>
    <fill>
      <patternFill patternType="solid">
        <fgColor rgb="00FFF4C2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0" customWidth="1" min="4" max="4"/>
    <col width="16" customWidth="1" min="5" max="5"/>
    <col width="56" customWidth="1" min="6" max="6"/>
    <col width="18" customWidth="1" min="7" max="7"/>
    <col width="8" customWidth="1" min="8" max="8"/>
    <col width="11" customWidth="1" min="9" max="9"/>
    <col width="9" customWidth="1" min="10" max="10"/>
    <col width="10" customWidth="1" min="11" max="11"/>
    <col width="10" customWidth="1" min="12" max="12"/>
    <col width="8" customWidth="1" min="13" max="13"/>
    <col width="30" customWidth="1" min="14" max="14"/>
    <col width="10" customWidth="1" min="15" max="15"/>
    <col width="40" customWidth="1" min="16" max="16"/>
    <col width="50" customWidth="1" min="17" max="17"/>
    <col width="22" customWidth="1" min="18" max="18"/>
  </cols>
  <sheetData>
    <row r="1" ht="30" customHeight="1">
      <c r="A1" s="1" t="inlineStr">
        <is>
          <t>#</t>
        </is>
      </c>
      <c r="B1" s="1" t="inlineStr">
        <is>
          <t>Trick</t>
        </is>
      </c>
      <c r="C1" s="1" t="inlineStr">
        <is>
          <t>id</t>
        </is>
      </c>
      <c r="D1" s="1" t="inlineStr">
        <is>
          <t>Rarity</t>
        </is>
      </c>
      <c r="E1" s="1" t="inlineStr">
        <is>
          <t>Category</t>
        </is>
      </c>
      <c r="F1" s="1" t="inlineStr">
        <is>
          <t>What it does (live text)</t>
        </is>
      </c>
      <c r="G1" s="1" t="inlineStr">
        <is>
          <t>Number</t>
        </is>
      </c>
      <c r="H1" s="1" t="inlineStr">
        <is>
          <t>Now</t>
        </is>
      </c>
      <c r="I1" s="1" t="inlineStr">
        <is>
          <t>NEW VALUE</t>
        </is>
      </c>
      <c r="J1" s="1" t="inlineStr">
        <is>
          <t>x factor</t>
        </is>
      </c>
      <c r="K1" s="1" t="inlineStr">
        <is>
          <t>Share of score</t>
        </is>
      </c>
      <c r="L1" s="1" t="inlineStr">
        <is>
          <t>x on a hand</t>
        </is>
      </c>
      <c r="M1" s="1" t="inlineStr">
        <is>
          <t>Fires %</t>
        </is>
      </c>
      <c r="N1" s="1" t="inlineStr">
        <is>
          <t>Audit note</t>
        </is>
      </c>
      <c r="O1" s="1" t="inlineStr">
        <is>
          <t>Verdict</t>
        </is>
      </c>
      <c r="P1" s="1" t="inlineStr">
        <is>
          <t>Notes</t>
        </is>
      </c>
      <c r="Q1" s="1" t="inlineStr">
        <is>
          <t>Template</t>
        </is>
      </c>
      <c r="R1" s="1" t="inlineStr">
        <is>
          <t>Tags</t>
        </is>
      </c>
    </row>
    <row r="2">
      <c r="A2" s="2" t="n">
        <v>1</v>
      </c>
      <c r="B2" s="2" t="inlineStr">
        <is>
          <t>Cascade</t>
        </is>
      </c>
      <c r="C2" s="2" t="inlineStr">
        <is>
          <t>overgrowth</t>
        </is>
      </c>
      <c r="D2" s="2" t="inlineStr">
        <is>
          <t>common</t>
        </is>
      </c>
      <c r="E2" s="2" t="inlineStr">
        <is>
          <t>Runs</t>
        </is>
      </c>
      <c r="F2" s="3" t="inlineStr">
        <is>
          <t>Runs score +20 pips per card</t>
        </is>
      </c>
      <c r="G2" s="2" t="inlineStr">
        <is>
          <t>pips_per_card</t>
        </is>
      </c>
      <c r="H2" s="2" t="n">
        <v>20</v>
      </c>
      <c r="I2" s="4" t="n"/>
      <c r="J2" s="5">
        <f>IF(I2="","",I2/H2)</f>
        <v/>
      </c>
      <c r="K2" s="5" t="n">
        <v>0.84</v>
      </c>
      <c r="L2" s="5" t="n">
        <v>1.36</v>
      </c>
      <c r="M2" s="6" t="n">
        <v>38</v>
      </c>
      <c r="N2" s="3" t="inlineStr">
        <is>
          <t>Outlier</t>
        </is>
      </c>
      <c r="O2" s="4" t="inlineStr"/>
      <c r="P2" s="7" t="inlineStr"/>
      <c r="Q2" s="3" t="inlineStr">
        <is>
          <t>Runs score +{pips_per_card} pips per card</t>
        </is>
      </c>
      <c r="R2" s="2" t="inlineStr"/>
    </row>
    <row r="3">
      <c r="A3" s="2" t="n">
        <v>2</v>
      </c>
      <c r="B3" s="2" t="inlineStr">
        <is>
          <t>Storm</t>
        </is>
      </c>
      <c r="C3" s="2" t="inlineStr">
        <is>
          <t>long_road</t>
        </is>
      </c>
      <c r="D3" s="2" t="inlineStr">
        <is>
          <t>common</t>
        </is>
      </c>
      <c r="E3" s="2" t="inlineStr">
        <is>
          <t>Runs</t>
        </is>
      </c>
      <c r="F3" s="3" t="inlineStr">
        <is>
          <t>Runs score +10 mult per card</t>
        </is>
      </c>
      <c r="G3" s="2" t="inlineStr">
        <is>
          <t>mult_per_card</t>
        </is>
      </c>
      <c r="H3" s="2" t="n">
        <v>10</v>
      </c>
      <c r="I3" s="4" t="n"/>
      <c r="J3" s="5">
        <f>IF(I3="","",I3/H3)</f>
        <v/>
      </c>
      <c r="K3" s="5" t="n">
        <v>0.54</v>
      </c>
      <c r="L3" s="5" t="n">
        <v>1.23</v>
      </c>
      <c r="M3" s="6" t="n">
        <v>38</v>
      </c>
      <c r="N3" s="3" t="inlineStr">
        <is>
          <t>Normal</t>
        </is>
      </c>
      <c r="O3" s="4" t="inlineStr"/>
      <c r="P3" s="7" t="inlineStr"/>
      <c r="Q3" s="3" t="inlineStr">
        <is>
          <t>Runs score +{mult_per_card} mult per card</t>
        </is>
      </c>
      <c r="R3" s="2" t="inlineStr"/>
    </row>
    <row r="4">
      <c r="A4" s="2" t="n">
        <v>3</v>
      </c>
      <c r="B4" s="2" t="inlineStr">
        <is>
          <t>Aftershock</t>
        </is>
      </c>
      <c r="C4" s="2" t="inlineStr">
        <is>
          <t>pair_pips</t>
        </is>
      </c>
      <c r="D4" s="2" t="inlineStr">
        <is>
          <t>common</t>
        </is>
      </c>
      <c r="E4" s="2" t="inlineStr">
        <is>
          <t>Pairs / sets</t>
        </is>
      </c>
      <c r="F4" s="3" t="inlineStr">
        <is>
          <t>Two Pair scores ×2 pips</t>
        </is>
      </c>
      <c r="G4" s="2" t="inlineStr">
        <is>
          <t>pip_mult</t>
        </is>
      </c>
      <c r="H4" s="2" t="n">
        <v>2</v>
      </c>
      <c r="I4" s="4" t="n"/>
      <c r="J4" s="5">
        <f>IF(I4="","",I4/H4)</f>
        <v/>
      </c>
      <c r="K4" s="5" t="n">
        <v>0.42</v>
      </c>
      <c r="L4" s="5" t="n">
        <v>1.18</v>
      </c>
      <c r="M4" s="6" t="n">
        <v>24</v>
      </c>
      <c r="N4" s="3" t="inlineStr">
        <is>
          <t>Normal</t>
        </is>
      </c>
      <c r="O4" s="4" t="inlineStr"/>
      <c r="P4" s="7" t="inlineStr"/>
      <c r="Q4" s="3" t="inlineStr"/>
      <c r="R4" s="2" t="inlineStr"/>
    </row>
    <row r="5">
      <c r="A5" s="2" t="n">
        <v>4</v>
      </c>
      <c r="B5" s="2" t="inlineStr">
        <is>
          <t>Enriched</t>
        </is>
      </c>
      <c r="C5" s="2" t="inlineStr">
        <is>
          <t>enriched</t>
        </is>
      </c>
      <c r="D5" s="2" t="inlineStr">
        <is>
          <t>common</t>
        </is>
      </c>
      <c r="E5" s="2" t="inlineStr">
        <is>
          <t>Flush / hand shape</t>
        </is>
      </c>
      <c r="F5" s="3" t="inlineStr">
        <is>
          <t>Flushes score +100 pips</t>
        </is>
      </c>
      <c r="G5" s="2" t="inlineStr">
        <is>
          <t>pips</t>
        </is>
      </c>
      <c r="H5" s="2" t="n">
        <v>100</v>
      </c>
      <c r="I5" s="4" t="n"/>
      <c r="J5" s="5">
        <f>IF(I5="","",I5/H5)</f>
        <v/>
      </c>
      <c r="K5" s="5" t="n">
        <v>0.03</v>
      </c>
      <c r="L5" s="5" t="n">
        <v>1.01</v>
      </c>
      <c r="M5" s="6" t="n">
        <v>1</v>
      </c>
      <c r="N5" s="3" t="inlineStr">
        <is>
          <t>Normal</t>
        </is>
      </c>
      <c r="O5" s="4" t="inlineStr"/>
      <c r="P5" s="7" t="inlineStr"/>
      <c r="Q5" s="3" t="inlineStr"/>
      <c r="R5" s="2" t="inlineStr"/>
    </row>
    <row r="6">
      <c r="A6" s="2" t="n">
        <v>5</v>
      </c>
      <c r="B6" s="2" t="inlineStr">
        <is>
          <t>Tidal Forces</t>
        </is>
      </c>
      <c r="C6" s="2" t="inlineStr">
        <is>
          <t>tidal_force</t>
        </is>
      </c>
      <c r="D6" s="2" t="inlineStr">
        <is>
          <t>common</t>
        </is>
      </c>
      <c r="E6" s="2" t="inlineStr">
        <is>
          <t>Flush / hand shape</t>
        </is>
      </c>
      <c r="F6" s="3" t="inlineStr">
        <is>
          <t>Flushes score +15 mult per card</t>
        </is>
      </c>
      <c r="G6" s="2" t="inlineStr">
        <is>
          <t>mult_per_card</t>
        </is>
      </c>
      <c r="H6" s="2" t="n">
        <v>15</v>
      </c>
      <c r="I6" s="4" t="n"/>
      <c r="J6" s="5">
        <f>IF(I6="","",I6/H6)</f>
        <v/>
      </c>
      <c r="K6" s="5" t="n">
        <v>0.03</v>
      </c>
      <c r="L6" s="5" t="n">
        <v>1.01</v>
      </c>
      <c r="M6" s="6" t="n">
        <v>1</v>
      </c>
      <c r="N6" s="3" t="inlineStr">
        <is>
          <t>Low</t>
        </is>
      </c>
      <c r="O6" s="4" t="inlineStr"/>
      <c r="P6" s="7" t="inlineStr"/>
      <c r="Q6" s="3" t="inlineStr">
        <is>
          <t>Flushes score +{mult_per_card} mult per card</t>
        </is>
      </c>
      <c r="R6" s="2" t="inlineStr"/>
    </row>
    <row r="7">
      <c r="A7" s="2" t="n">
        <v>6</v>
      </c>
      <c r="B7" s="2" t="inlineStr">
        <is>
          <t>Unsummit</t>
        </is>
      </c>
      <c r="C7" s="2" t="inlineStr">
        <is>
          <t>summit</t>
        </is>
      </c>
      <c r="D7" s="2" t="inlineStr">
        <is>
          <t>common</t>
        </is>
      </c>
      <c r="E7" s="2" t="inlineStr">
        <is>
          <t>Flush / hand shape</t>
        </is>
      </c>
      <c r="F7" s="3" t="inlineStr">
        <is>
          <t>The highest-ranking card in each hand scores +(level x 2) pips.</t>
        </is>
      </c>
      <c r="G7" s="2" t="inlineStr">
        <is>
          <t>pips_per_level</t>
        </is>
      </c>
      <c r="H7" s="2" t="n">
        <v>2</v>
      </c>
      <c r="I7" s="4" t="n"/>
      <c r="J7" s="5">
        <f>IF(I7="","",I7/H7)</f>
        <v/>
      </c>
      <c r="K7" s="5" t="n">
        <v>3.94</v>
      </c>
      <c r="L7" s="5" t="n">
        <v>2.67</v>
      </c>
      <c r="M7" s="6" t="n">
        <v>100</v>
      </c>
      <c r="N7" s="3" t="inlineStr">
        <is>
          <t>Outlier</t>
        </is>
      </c>
      <c r="O7" s="4" t="inlineStr"/>
      <c r="P7" s="7" t="inlineStr"/>
      <c r="Q7" s="3" t="inlineStr">
        <is>
          <t>The highest-ranking card in each hand scores +(level x {pips_per_level}) pips.</t>
        </is>
      </c>
      <c r="R7" s="2" t="inlineStr"/>
    </row>
    <row r="8">
      <c r="A8" s="2" t="n">
        <v>7</v>
      </c>
      <c r="B8" s="2" t="inlineStr">
        <is>
          <t>Nimble</t>
        </is>
      </c>
      <c r="C8" s="2" t="inlineStr">
        <is>
          <t>light_touch</t>
        </is>
      </c>
      <c r="D8" s="2" t="inlineStr">
        <is>
          <t>common</t>
        </is>
      </c>
      <c r="E8" s="2" t="inlineStr">
        <is>
          <t>Flush / hand shape</t>
        </is>
      </c>
      <c r="F8" s="3" t="inlineStr">
        <is>
          <t>2-card hands score +30 mult</t>
        </is>
      </c>
      <c r="G8" s="2" t="inlineStr">
        <is>
          <t>mult</t>
        </is>
      </c>
      <c r="H8" s="2" t="n">
        <v>30</v>
      </c>
      <c r="I8" s="4" t="n"/>
      <c r="J8" s="5">
        <f>IF(I8="","",I8/H8)</f>
        <v/>
      </c>
      <c r="K8" s="5" t="n">
        <v>1.3</v>
      </c>
      <c r="L8" s="5" t="n">
        <v>1.55</v>
      </c>
      <c r="M8" s="6" t="n">
        <v>25</v>
      </c>
      <c r="N8" s="3" t="inlineStr">
        <is>
          <t>Normal</t>
        </is>
      </c>
      <c r="O8" s="4" t="inlineStr"/>
      <c r="P8" s="7" t="inlineStr"/>
      <c r="Q8" s="3" t="inlineStr">
        <is>
          <t>2-card hands score +{mult} mult</t>
        </is>
      </c>
      <c r="R8" s="2" t="inlineStr"/>
    </row>
    <row r="9">
      <c r="A9" s="2" t="n">
        <v>8</v>
      </c>
      <c r="B9" s="2" t="inlineStr">
        <is>
          <t>Release Valve</t>
        </is>
      </c>
      <c r="C9" s="2" t="inlineStr">
        <is>
          <t>release_valve</t>
        </is>
      </c>
      <c r="D9" s="2" t="inlineStr">
        <is>
          <t>common</t>
        </is>
      </c>
      <c r="E9" s="2" t="inlineStr">
        <is>
          <t>Focus</t>
        </is>
      </c>
      <c r="F9" s="3" t="inlineStr">
        <is>
          <t>Each time you hit your Focus limit, gain +1 swap and +1 discard and lose 16 Focus.</t>
        </is>
      </c>
      <c r="G9" s="2" t="inlineStr">
        <is>
          <t>swaps</t>
        </is>
      </c>
      <c r="H9" s="2" t="n">
        <v>1</v>
      </c>
      <c r="I9" s="4" t="n"/>
      <c r="J9" s="5">
        <f>IF(I9="","",I9/H9)</f>
        <v/>
      </c>
      <c r="K9" s="5" t="n"/>
      <c r="L9" s="5" t="n">
        <v>1</v>
      </c>
      <c r="M9" s="6" t="n">
        <v>0</v>
      </c>
      <c r="N9" s="3" t="inlineStr">
        <is>
          <t>pays in Credits / stock</t>
        </is>
      </c>
      <c r="O9" s="4" t="inlineStr"/>
      <c r="P9" s="7" t="inlineStr"/>
      <c r="Q9" s="3" t="inlineStr">
        <is>
          <t>Each time you hit your Focus limit, gain +{swaps} swap[[swaps&gt;1:s]] and +{discards} discard[[discards&gt;1:s]] and lose {focus_drop} Focus.</t>
        </is>
      </c>
      <c r="R9" s="2" t="inlineStr"/>
    </row>
    <row r="10">
      <c r="A10" s="8" t="n"/>
      <c r="B10" s="8" t="inlineStr"/>
      <c r="C10" s="8" t="inlineStr"/>
      <c r="D10" s="8" t="inlineStr"/>
      <c r="E10" s="8" t="inlineStr"/>
      <c r="F10" s="9" t="inlineStr"/>
      <c r="G10" s="8" t="inlineStr">
        <is>
          <t>discards</t>
        </is>
      </c>
      <c r="H10" s="8" t="n">
        <v>1</v>
      </c>
      <c r="I10" s="4" t="n"/>
      <c r="J10" s="10">
        <f>IF(I10="","",I10/H10)</f>
        <v/>
      </c>
      <c r="K10" s="10" t="n"/>
      <c r="L10" s="10" t="n"/>
      <c r="M10" s="8" t="n"/>
      <c r="N10" s="9" t="inlineStr"/>
      <c r="O10" s="4" t="inlineStr"/>
      <c r="P10" s="7" t="inlineStr"/>
      <c r="Q10" s="9" t="inlineStr"/>
      <c r="R10" s="8" t="inlineStr"/>
    </row>
    <row r="11">
      <c r="A11" s="8" t="n"/>
      <c r="B11" s="8" t="inlineStr"/>
      <c r="C11" s="8" t="inlineStr"/>
      <c r="D11" s="8" t="inlineStr"/>
      <c r="E11" s="8" t="inlineStr"/>
      <c r="F11" s="9" t="inlineStr"/>
      <c r="G11" s="8" t="inlineStr">
        <is>
          <t>focus_drop</t>
        </is>
      </c>
      <c r="H11" s="8" t="n">
        <v>16</v>
      </c>
      <c r="I11" s="4" t="n"/>
      <c r="J11" s="10">
        <f>IF(I11="","",I11/H11)</f>
        <v/>
      </c>
      <c r="K11" s="10" t="n"/>
      <c r="L11" s="10" t="n"/>
      <c r="M11" s="8" t="n"/>
      <c r="N11" s="9" t="inlineStr"/>
      <c r="O11" s="4" t="inlineStr"/>
      <c r="P11" s="7" t="inlineStr"/>
      <c r="Q11" s="9" t="inlineStr"/>
      <c r="R11" s="8" t="inlineStr"/>
    </row>
    <row r="12">
      <c r="A12" s="2" t="n">
        <v>9</v>
      </c>
      <c r="B12" s="2" t="inlineStr">
        <is>
          <t>First Light</t>
        </is>
      </c>
      <c r="C12" s="2" t="inlineStr">
        <is>
          <t>first_light</t>
        </is>
      </c>
      <c r="D12" s="2" t="inlineStr">
        <is>
          <t>common</t>
        </is>
      </c>
      <c r="E12" s="2" t="inlineStr">
        <is>
          <t>Rank</t>
        </is>
      </c>
      <c r="F12" s="3" t="inlineStr">
        <is>
          <t>Aces score 42 pips</t>
        </is>
      </c>
      <c r="G12" s="2" t="inlineStr">
        <is>
          <t>worth</t>
        </is>
      </c>
      <c r="H12" s="2" t="n">
        <v>42</v>
      </c>
      <c r="I12" s="4" t="n"/>
      <c r="J12" s="5">
        <f>IF(I12="","",I12/H12)</f>
        <v/>
      </c>
      <c r="K12" s="5" t="n">
        <v>0.16</v>
      </c>
      <c r="L12" s="5" t="n">
        <v>1.07</v>
      </c>
      <c r="M12" s="6" t="n">
        <v>21</v>
      </c>
      <c r="N12" s="3" t="inlineStr">
        <is>
          <t>Low</t>
        </is>
      </c>
      <c r="O12" s="4" t="inlineStr"/>
      <c r="P12" s="7" t="inlineStr"/>
      <c r="Q12" s="3" t="inlineStr">
        <is>
          <t>Aces score {worth} pips</t>
        </is>
      </c>
      <c r="R12" s="2" t="inlineStr"/>
    </row>
    <row r="13">
      <c r="A13" s="2" t="n">
        <v>10</v>
      </c>
      <c r="B13" s="2" t="inlineStr">
        <is>
          <t>Face Value</t>
        </is>
      </c>
      <c r="C13" s="2" t="inlineStr">
        <is>
          <t>face_value</t>
        </is>
      </c>
      <c r="D13" s="2" t="inlineStr">
        <is>
          <t>common</t>
        </is>
      </c>
      <c r="E13" s="2" t="inlineStr">
        <is>
          <t>Rank</t>
        </is>
      </c>
      <c r="F13" s="3" t="inlineStr">
        <is>
          <t>Face cards (J/Q/K) score +20 pips</t>
        </is>
      </c>
      <c r="G13" s="2" t="inlineStr">
        <is>
          <t>face_pips</t>
        </is>
      </c>
      <c r="H13" s="2" t="n">
        <v>20</v>
      </c>
      <c r="I13" s="4" t="n"/>
      <c r="J13" s="5">
        <f>IF(I13="","",I13/H13)</f>
        <v/>
      </c>
      <c r="K13" s="5" t="n">
        <v>0.48</v>
      </c>
      <c r="L13" s="5" t="n">
        <v>1.21</v>
      </c>
      <c r="M13" s="6" t="n">
        <v>40</v>
      </c>
      <c r="N13" s="3" t="inlineStr">
        <is>
          <t>Normal</t>
        </is>
      </c>
      <c r="O13" s="4" t="inlineStr"/>
      <c r="P13" s="7" t="inlineStr"/>
      <c r="Q13" s="3" t="inlineStr">
        <is>
          <t>Face cards (J/Q/K) score +{face_pips} pips</t>
        </is>
      </c>
      <c r="R13" s="2" t="inlineStr"/>
    </row>
    <row r="14">
      <c r="A14" s="2" t="n">
        <v>11</v>
      </c>
      <c r="B14" s="2" t="inlineStr">
        <is>
          <t>Men of Repute</t>
        </is>
      </c>
      <c r="C14" s="2" t="inlineStr">
        <is>
          <t>king_guard</t>
        </is>
      </c>
      <c r="D14" s="2" t="inlineStr">
        <is>
          <t>common</t>
        </is>
      </c>
      <c r="E14" s="2" t="inlineStr">
        <is>
          <t>Rank</t>
        </is>
      </c>
      <c r="F14" s="3" t="inlineStr">
        <is>
          <t>Kings and Jacks score +10 pips and +5 mult</t>
        </is>
      </c>
      <c r="G14" s="2" t="inlineStr">
        <is>
          <t>pips</t>
        </is>
      </c>
      <c r="H14" s="2" t="n">
        <v>10</v>
      </c>
      <c r="I14" s="4" t="n"/>
      <c r="J14" s="5">
        <f>IF(I14="","",I14/H14)</f>
        <v/>
      </c>
      <c r="K14" s="5" t="n">
        <v>0.77</v>
      </c>
      <c r="L14" s="5" t="n">
        <v>1.33</v>
      </c>
      <c r="M14" s="6" t="n">
        <v>33</v>
      </c>
      <c r="N14" s="3" t="inlineStr">
        <is>
          <t>High</t>
        </is>
      </c>
      <c r="O14" s="4" t="inlineStr"/>
      <c r="P14" s="7" t="inlineStr"/>
      <c r="Q14" s="3" t="inlineStr">
        <is>
          <t>Kings and Jacks score +{pips} pips and +{mult} mult</t>
        </is>
      </c>
      <c r="R14" s="2" t="inlineStr"/>
    </row>
    <row r="15">
      <c r="A15" s="8" t="n"/>
      <c r="B15" s="8" t="inlineStr"/>
      <c r="C15" s="8" t="inlineStr"/>
      <c r="D15" s="8" t="inlineStr"/>
      <c r="E15" s="8" t="inlineStr"/>
      <c r="F15" s="9" t="inlineStr"/>
      <c r="G15" s="8" t="inlineStr">
        <is>
          <t>mult</t>
        </is>
      </c>
      <c r="H15" s="8" t="n">
        <v>5</v>
      </c>
      <c r="I15" s="4" t="n"/>
      <c r="J15" s="10">
        <f>IF(I15="","",I15/H15)</f>
        <v/>
      </c>
      <c r="K15" s="10" t="n"/>
      <c r="L15" s="10" t="n"/>
      <c r="M15" s="8" t="n"/>
      <c r="N15" s="9" t="inlineStr"/>
      <c r="O15" s="4" t="inlineStr"/>
      <c r="P15" s="7" t="inlineStr"/>
      <c r="Q15" s="9" t="inlineStr"/>
      <c r="R15" s="8" t="inlineStr"/>
    </row>
    <row r="16">
      <c r="A16" s="2" t="n">
        <v>12</v>
      </c>
      <c r="B16" s="2" t="inlineStr">
        <is>
          <t>Every Day Essentials</t>
        </is>
      </c>
      <c r="C16" s="2" t="inlineStr">
        <is>
          <t>humble_roots</t>
        </is>
      </c>
      <c r="D16" s="2" t="inlineStr">
        <is>
          <t>common</t>
        </is>
      </c>
      <c r="E16" s="2" t="inlineStr">
        <is>
          <t>Rank</t>
        </is>
      </c>
      <c r="F16" s="3" t="inlineStr">
        <is>
          <t>Rank-6-and-below cards score their rank ×3 pips</t>
        </is>
      </c>
      <c r="G16" s="2" t="inlineStr">
        <is>
          <t>pip_mult</t>
        </is>
      </c>
      <c r="H16" s="2" t="n">
        <v>3</v>
      </c>
      <c r="I16" s="4" t="n"/>
      <c r="J16" s="5">
        <f>IF(I16="","",I16/H16)</f>
        <v/>
      </c>
      <c r="K16" s="5" t="n">
        <v>1.17</v>
      </c>
      <c r="L16" s="5" t="n">
        <v>1.61</v>
      </c>
      <c r="M16" s="6" t="n">
        <v>65</v>
      </c>
      <c r="N16" s="3" t="inlineStr">
        <is>
          <t>High</t>
        </is>
      </c>
      <c r="O16" s="4" t="inlineStr"/>
      <c r="P16" s="7" t="inlineStr"/>
      <c r="Q16" s="3" t="inlineStr"/>
      <c r="R16" s="2" t="inlineStr"/>
    </row>
    <row r="17">
      <c r="A17" s="2" t="n">
        <v>13</v>
      </c>
      <c r="B17" s="2" t="inlineStr">
        <is>
          <t>Rich Soil</t>
        </is>
      </c>
      <c r="C17" s="2" t="inlineStr">
        <is>
          <t>rich_soil</t>
        </is>
      </c>
      <c r="D17" s="2" t="inlineStr">
        <is>
          <t>common</t>
        </is>
      </c>
      <c r="E17" s="2" t="inlineStr">
        <is>
          <t>Per-card pips</t>
        </is>
      </c>
      <c r="F17" s="3" t="inlineStr">
        <is>
          <t>All cards score +3 mult</t>
        </is>
      </c>
      <c r="G17" s="2" t="inlineStr">
        <is>
          <t>mult</t>
        </is>
      </c>
      <c r="H17" s="2" t="n">
        <v>3</v>
      </c>
      <c r="I17" s="4" t="n"/>
      <c r="J17" s="5">
        <f>IF(I17="","",I17/H17)</f>
        <v/>
      </c>
      <c r="K17" s="5" t="n">
        <v>1.12</v>
      </c>
      <c r="L17" s="5" t="n">
        <v>1.48</v>
      </c>
      <c r="M17" s="6" t="n">
        <v>100</v>
      </c>
      <c r="N17" s="3" t="inlineStr">
        <is>
          <t>Normal</t>
        </is>
      </c>
      <c r="O17" s="4" t="inlineStr"/>
      <c r="P17" s="7" t="inlineStr"/>
      <c r="Q17" s="3" t="inlineStr">
        <is>
          <t>All cards score +{mult} mult</t>
        </is>
      </c>
      <c r="R17" s="2" t="inlineStr"/>
    </row>
    <row r="18">
      <c r="A18" s="2" t="n">
        <v>14</v>
      </c>
      <c r="B18" s="2" t="inlineStr">
        <is>
          <t>Early Bird</t>
        </is>
      </c>
      <c r="C18" s="2" t="inlineStr">
        <is>
          <t>early_bird</t>
        </is>
      </c>
      <c r="D18" s="2" t="inlineStr">
        <is>
          <t>common</t>
        </is>
      </c>
      <c r="E18" s="2" t="inlineStr">
        <is>
          <t>Birds (timing)</t>
        </is>
      </c>
      <c r="F18" s="3" t="inlineStr">
        <is>
          <t>Hands played in the first third of the round score +20 pips per card</t>
        </is>
      </c>
      <c r="G18" s="2" t="inlineStr">
        <is>
          <t>pips_per_card</t>
        </is>
      </c>
      <c r="H18" s="2" t="n">
        <v>20</v>
      </c>
      <c r="I18" s="4" t="n"/>
      <c r="J18" s="5">
        <f>IF(I18="","",I18/H18)</f>
        <v/>
      </c>
      <c r="K18" s="5" t="n">
        <v>1.51</v>
      </c>
      <c r="L18" s="5" t="n">
        <v>1.64</v>
      </c>
      <c r="M18" s="6" t="n">
        <v>92</v>
      </c>
      <c r="N18" s="3" t="inlineStr">
        <is>
          <t>High</t>
        </is>
      </c>
      <c r="O18" s="4" t="inlineStr"/>
      <c r="P18" s="7" t="inlineStr"/>
      <c r="Q18" s="3" t="inlineStr">
        <is>
          <t>Hands played in the first third of the round score +{pips_per_card} pips per card</t>
        </is>
      </c>
      <c r="R18" s="2" t="inlineStr"/>
    </row>
    <row r="19">
      <c r="A19" s="2" t="n">
        <v>15</v>
      </c>
      <c r="B19" s="2" t="inlineStr">
        <is>
          <t>Night Owl</t>
        </is>
      </c>
      <c r="C19" s="2" t="inlineStr">
        <is>
          <t>night_owl</t>
        </is>
      </c>
      <c r="D19" s="2" t="inlineStr">
        <is>
          <t>common</t>
        </is>
      </c>
      <c r="E19" s="2" t="inlineStr">
        <is>
          <t>Birds (timing)</t>
        </is>
      </c>
      <c r="F19" s="3" t="inlineStr">
        <is>
          <t>Hands played in the last third of the round score +10 mult per card</t>
        </is>
      </c>
      <c r="G19" s="2" t="inlineStr">
        <is>
          <t>mult_per_card</t>
        </is>
      </c>
      <c r="H19" s="2" t="n">
        <v>10</v>
      </c>
      <c r="I19" s="4" t="n"/>
      <c r="J19" s="5">
        <f>IF(I19="","",I19/H19)</f>
        <v/>
      </c>
      <c r="K19" s="5" t="n">
        <v>0.02</v>
      </c>
      <c r="L19" s="5" t="n">
        <v>1.01</v>
      </c>
      <c r="M19" s="6" t="n">
        <v>1</v>
      </c>
      <c r="N19" s="3" t="inlineStr">
        <is>
          <t>Barely pays</t>
        </is>
      </c>
      <c r="O19" s="4" t="inlineStr"/>
      <c r="P19" s="7" t="inlineStr"/>
      <c r="Q19" s="3" t="inlineStr">
        <is>
          <t>Hands played in the last third of the round score +{mult_per_card} mult per card</t>
        </is>
      </c>
      <c r="R19" s="2" t="inlineStr"/>
    </row>
    <row r="20">
      <c r="A20" s="2" t="n">
        <v>16</v>
      </c>
      <c r="B20" s="2" t="inlineStr">
        <is>
          <t>Near Extinction</t>
        </is>
      </c>
      <c r="C20" s="2" t="inlineStr">
        <is>
          <t>closing_time</t>
        </is>
      </c>
      <c r="D20" s="2" t="inlineStr">
        <is>
          <t>common</t>
        </is>
      </c>
      <c r="E20" s="2" t="inlineStr">
        <is>
          <t>Timing</t>
        </is>
      </c>
      <c r="F20" s="3" t="inlineStr">
        <is>
          <t>In the last third of the round, each scored card replays</t>
        </is>
      </c>
      <c r="G20" s="2" t="inlineStr">
        <is>
          <t>(in code, no BAL number)</t>
        </is>
      </c>
      <c r="H20" s="2" t="n"/>
      <c r="I20" s="4" t="n"/>
      <c r="J20" s="5" t="n"/>
      <c r="K20" s="5" t="n">
        <v>0.03</v>
      </c>
      <c r="L20" s="5" t="n">
        <v>1.01</v>
      </c>
      <c r="M20" s="6" t="n">
        <v>1</v>
      </c>
      <c r="N20" s="3" t="inlineStr">
        <is>
          <t>Barely pays</t>
        </is>
      </c>
      <c r="O20" s="4" t="inlineStr"/>
      <c r="P20" s="7" t="inlineStr"/>
      <c r="Q20" s="3" t="inlineStr"/>
      <c r="R20" s="2" t="inlineStr"/>
    </row>
    <row r="21">
      <c r="A21" s="2" t="n">
        <v>17</v>
      </c>
      <c r="B21" s="2" t="inlineStr">
        <is>
          <t>Quick Draw</t>
        </is>
      </c>
      <c r="C21" s="2" t="inlineStr">
        <is>
          <t>quick_draw</t>
        </is>
      </c>
      <c r="D21" s="2" t="inlineStr">
        <is>
          <t>common</t>
        </is>
      </c>
      <c r="E21" s="2" t="inlineStr">
        <is>
          <t>Timing</t>
        </is>
      </c>
      <c r="F21" s="3" t="inlineStr">
        <is>
          <t>Hands played within 3 seconds of the previous hand add +1 to your Focus limit (max +10)</t>
        </is>
      </c>
      <c r="G21" s="2" t="inlineStr">
        <is>
          <t>window_ms</t>
        </is>
      </c>
      <c r="H21" s="2" t="n">
        <v>3000</v>
      </c>
      <c r="I21" s="4" t="n"/>
      <c r="J21" s="5">
        <f>IF(I21="","",I21/H21)</f>
        <v/>
      </c>
      <c r="K21" s="5" t="n"/>
      <c r="L21" s="5" t="n">
        <v>1</v>
      </c>
      <c r="M21" s="6" t="n">
        <v>0</v>
      </c>
      <c r="N21" s="3" t="inlineStr">
        <is>
          <t>pays in Focus</t>
        </is>
      </c>
      <c r="O21" s="4" t="inlineStr"/>
      <c r="P21" s="7" t="inlineStr"/>
      <c r="Q21" s="3" t="inlineStr"/>
      <c r="R21" s="2" t="inlineStr"/>
    </row>
    <row r="22">
      <c r="A22" s="8" t="n"/>
      <c r="B22" s="8" t="inlineStr"/>
      <c r="C22" s="8" t="inlineStr"/>
      <c r="D22" s="8" t="inlineStr"/>
      <c r="E22" s="8" t="inlineStr"/>
      <c r="F22" s="9" t="inlineStr"/>
      <c r="G22" s="8" t="inlineStr">
        <is>
          <t>cap_gain</t>
        </is>
      </c>
      <c r="H22" s="8" t="n">
        <v>1</v>
      </c>
      <c r="I22" s="4" t="n"/>
      <c r="J22" s="10">
        <f>IF(I22="","",I22/H22)</f>
        <v/>
      </c>
      <c r="K22" s="10" t="n"/>
      <c r="L22" s="10" t="n"/>
      <c r="M22" s="8" t="n"/>
      <c r="N22" s="9" t="inlineStr"/>
      <c r="O22" s="4" t="inlineStr"/>
      <c r="P22" s="7" t="inlineStr"/>
      <c r="Q22" s="9" t="inlineStr"/>
      <c r="R22" s="8" t="inlineStr"/>
    </row>
    <row r="23">
      <c r="A23" s="8" t="n"/>
      <c r="B23" s="8" t="inlineStr"/>
      <c r="C23" s="8" t="inlineStr"/>
      <c r="D23" s="8" t="inlineStr"/>
      <c r="E23" s="8" t="inlineStr"/>
      <c r="F23" s="9" t="inlineStr"/>
      <c r="G23" s="8" t="inlineStr">
        <is>
          <t>cap</t>
        </is>
      </c>
      <c r="H23" s="8" t="n">
        <v>10</v>
      </c>
      <c r="I23" s="4" t="n"/>
      <c r="J23" s="10">
        <f>IF(I23="","",I23/H23)</f>
        <v/>
      </c>
      <c r="K23" s="10" t="n"/>
      <c r="L23" s="10" t="n"/>
      <c r="M23" s="8" t="n"/>
      <c r="N23" s="9" t="inlineStr"/>
      <c r="O23" s="4" t="inlineStr"/>
      <c r="P23" s="7" t="inlineStr"/>
      <c r="Q23" s="9" t="inlineStr"/>
      <c r="R23" s="8" t="inlineStr"/>
    </row>
    <row r="24">
      <c r="A24" s="2" t="n">
        <v>18</v>
      </c>
      <c r="B24" s="2" t="inlineStr">
        <is>
          <t>Tick-Tock</t>
        </is>
      </c>
      <c r="C24" s="2" t="inlineStr">
        <is>
          <t>ticktock</t>
        </is>
      </c>
      <c r="D24" s="2" t="inlineStr">
        <is>
          <t>common</t>
        </is>
      </c>
      <c r="E24" s="2" t="inlineStr">
        <is>
          <t>Timing</t>
        </is>
      </c>
      <c r="F24" s="3" t="inlineStr">
        <is>
          <t>Every time the clock ends in a 0, gain +4 Focus</t>
        </is>
      </c>
      <c r="G24" s="2" t="inlineStr">
        <is>
          <t>focus</t>
        </is>
      </c>
      <c r="H24" s="2" t="n">
        <v>4</v>
      </c>
      <c r="I24" s="4" t="n"/>
      <c r="J24" s="5">
        <f>IF(I24="","",I24/H24)</f>
        <v/>
      </c>
      <c r="K24" s="5" t="n"/>
      <c r="L24" s="5" t="n">
        <v>1</v>
      </c>
      <c r="M24" s="6" t="n">
        <v>0</v>
      </c>
      <c r="N24" s="3" t="inlineStr">
        <is>
          <t>pays in Focus</t>
        </is>
      </c>
      <c r="O24" s="4" t="inlineStr"/>
      <c r="P24" s="7" t="inlineStr"/>
      <c r="Q24" s="3" t="inlineStr">
        <is>
          <t>Every time the clock ends in a 0, gain +{focus} Focus</t>
        </is>
      </c>
      <c r="R24" s="2" t="inlineStr">
        <is>
          <t>time, focus</t>
        </is>
      </c>
    </row>
    <row r="25">
      <c r="A25" s="2" t="n">
        <v>19</v>
      </c>
      <c r="B25" s="2" t="inlineStr">
        <is>
          <t>Second Hand</t>
        </is>
      </c>
      <c r="C25" s="2" t="inlineStr">
        <is>
          <t>second_hand</t>
        </is>
      </c>
      <c r="D25" s="2" t="inlineStr">
        <is>
          <t>common</t>
        </is>
      </c>
      <c r="E25" s="2" t="inlineStr">
        <is>
          <t>Timing</t>
        </is>
      </c>
      <c r="F25" s="3" t="inlineStr">
        <is>
          <t>Every time the clock passes a multiple of 10s, your next hand scores either +20 mult or +30 pips</t>
        </is>
      </c>
      <c r="G25" s="2" t="inlineStr">
        <is>
          <t>pips</t>
        </is>
      </c>
      <c r="H25" s="2" t="n">
        <v>30</v>
      </c>
      <c r="I25" s="4" t="n"/>
      <c r="J25" s="5">
        <f>IF(I25="","",I25/H25)</f>
        <v/>
      </c>
      <c r="K25" s="5" t="n">
        <v>1.09</v>
      </c>
      <c r="L25" s="5" t="n">
        <v>1.46</v>
      </c>
      <c r="M25" s="6" t="n">
        <v>59</v>
      </c>
      <c r="N25" s="3" t="inlineStr">
        <is>
          <t>Normal</t>
        </is>
      </c>
      <c r="O25" s="4" t="inlineStr"/>
      <c r="P25" s="7" t="inlineStr"/>
      <c r="Q25" s="3" t="inlineStr">
        <is>
          <t>Every time the clock passes a multiple of 10s, your next hand scores either +{mult} mult or +{pips} pips</t>
        </is>
      </c>
      <c r="R25" s="2" t="inlineStr">
        <is>
          <t>time, pips</t>
        </is>
      </c>
    </row>
    <row r="26">
      <c r="A26" s="8" t="n"/>
      <c r="B26" s="8" t="inlineStr"/>
      <c r="C26" s="8" t="inlineStr"/>
      <c r="D26" s="8" t="inlineStr"/>
      <c r="E26" s="8" t="inlineStr"/>
      <c r="F26" s="9" t="inlineStr"/>
      <c r="G26" s="8" t="inlineStr">
        <is>
          <t>mult</t>
        </is>
      </c>
      <c r="H26" s="8" t="n">
        <v>20</v>
      </c>
      <c r="I26" s="4" t="n"/>
      <c r="J26" s="10">
        <f>IF(I26="","",I26/H26)</f>
        <v/>
      </c>
      <c r="K26" s="10" t="n"/>
      <c r="L26" s="10" t="n"/>
      <c r="M26" s="8" t="n"/>
      <c r="N26" s="9" t="inlineStr"/>
      <c r="O26" s="4" t="inlineStr"/>
      <c r="P26" s="7" t="inlineStr"/>
      <c r="Q26" s="9" t="inlineStr"/>
      <c r="R26" s="8" t="inlineStr"/>
    </row>
    <row r="27">
      <c r="A27" s="2" t="n">
        <v>20</v>
      </c>
      <c r="B27" s="2" t="inlineStr">
        <is>
          <t>Kindling</t>
        </is>
      </c>
      <c r="C27" s="2" t="inlineStr">
        <is>
          <t>kindling</t>
        </is>
      </c>
      <c r="D27" s="2" t="inlineStr">
        <is>
          <t>common</t>
        </is>
      </c>
      <c r="E27" s="2" t="inlineStr">
        <is>
          <t>Streaks</t>
        </is>
      </c>
      <c r="F27" s="3" t="inlineStr">
        <is>
          <t>Same-hand streaks score +8 mult × the streak count</t>
        </is>
      </c>
      <c r="G27" s="2" t="inlineStr">
        <is>
          <t>mult_per_streak</t>
        </is>
      </c>
      <c r="H27" s="2" t="n">
        <v>8</v>
      </c>
      <c r="I27" s="4" t="n"/>
      <c r="J27" s="5">
        <f>IF(I27="","",I27/H27)</f>
        <v/>
      </c>
      <c r="K27" s="5" t="n">
        <v>0.76</v>
      </c>
      <c r="L27" s="5" t="n">
        <v>1.32</v>
      </c>
      <c r="M27" s="6" t="n">
        <v>27</v>
      </c>
      <c r="N27" s="3" t="inlineStr">
        <is>
          <t>Normal</t>
        </is>
      </c>
      <c r="O27" s="4" t="inlineStr"/>
      <c r="P27" s="7" t="inlineStr"/>
      <c r="Q27" s="3" t="inlineStr">
        <is>
          <t>Same-hand streaks score +{mult_per_streak} mult × the streak count</t>
        </is>
      </c>
      <c r="R27" s="2" t="inlineStr"/>
    </row>
    <row r="28">
      <c r="A28" s="2" t="n">
        <v>21</v>
      </c>
      <c r="B28" s="2" t="inlineStr">
        <is>
          <t>Echoes</t>
        </is>
      </c>
      <c r="C28" s="2" t="inlineStr">
        <is>
          <t>echo_hand</t>
        </is>
      </c>
      <c r="D28" s="2" t="inlineStr">
        <is>
          <t>common</t>
        </is>
      </c>
      <c r="E28" s="2" t="inlineStr">
        <is>
          <t>Streaks</t>
        </is>
      </c>
      <c r="F28" s="3" t="inlineStr">
        <is>
          <t>Playing the same hand type as the previous hand replays each card</t>
        </is>
      </c>
      <c r="G28" s="2" t="inlineStr">
        <is>
          <t>(in code, no BAL number)</t>
        </is>
      </c>
      <c r="H28" s="2" t="n"/>
      <c r="I28" s="4" t="n"/>
      <c r="J28" s="5" t="n"/>
      <c r="K28" s="5" t="n">
        <v>1.12</v>
      </c>
      <c r="L28" s="5" t="n">
        <v>1.48</v>
      </c>
      <c r="M28" s="6" t="n">
        <v>27</v>
      </c>
      <c r="N28" s="3" t="inlineStr">
        <is>
          <t>Normal</t>
        </is>
      </c>
      <c r="O28" s="4" t="inlineStr"/>
      <c r="P28" s="7" t="inlineStr"/>
      <c r="Q28" s="3" t="inlineStr"/>
      <c r="R28" s="2" t="inlineStr"/>
    </row>
    <row r="29">
      <c r="A29" s="2" t="n">
        <v>22</v>
      </c>
      <c r="B29" s="2" t="inlineStr">
        <is>
          <t>Get Even</t>
        </is>
      </c>
      <c r="C29" s="2" t="inlineStr">
        <is>
          <t>even_score</t>
        </is>
      </c>
      <c r="D29" s="2" t="inlineStr">
        <is>
          <t>common</t>
        </is>
      </c>
      <c r="E29" s="2" t="inlineStr">
        <is>
          <t>Numbers</t>
        </is>
      </c>
      <c r="F29" s="3" t="inlineStr">
        <is>
          <t>Even-ranked cards score +16 pips</t>
        </is>
      </c>
      <c r="G29" s="2" t="inlineStr">
        <is>
          <t>pips_per_card</t>
        </is>
      </c>
      <c r="H29" s="2" t="n">
        <v>16</v>
      </c>
      <c r="I29" s="4" t="n"/>
      <c r="J29" s="5">
        <f>IF(I29="","",I29/H29)</f>
        <v/>
      </c>
      <c r="K29" s="5" t="n">
        <v>0.46</v>
      </c>
      <c r="L29" s="5" t="n">
        <v>1.2</v>
      </c>
      <c r="M29" s="6" t="n">
        <v>59</v>
      </c>
      <c r="N29" s="3" t="inlineStr">
        <is>
          <t>Low</t>
        </is>
      </c>
      <c r="O29" s="4" t="inlineStr"/>
      <c r="P29" s="7" t="inlineStr"/>
      <c r="Q29" s="3" t="inlineStr">
        <is>
          <t>Even-ranked cards score +{pips_per_card} pips</t>
        </is>
      </c>
      <c r="R29" s="2" t="inlineStr"/>
    </row>
    <row r="30">
      <c r="A30" s="2" t="n">
        <v>23</v>
      </c>
      <c r="B30" s="2" t="inlineStr">
        <is>
          <t>Right Place</t>
        </is>
      </c>
      <c r="C30" s="2" t="inlineStr">
        <is>
          <t>rowcol_triple_pips</t>
        </is>
      </c>
      <c r="D30" s="2" t="inlineStr">
        <is>
          <t>common</t>
        </is>
      </c>
      <c r="E30" s="2" t="inlineStr">
        <is>
          <t>Position</t>
        </is>
      </c>
      <c r="F30" s="3" t="inlineStr">
        <is>
          <t>Cards scored in a marked row or column score +25 pips</t>
        </is>
      </c>
      <c r="G30" s="2" t="inlineStr">
        <is>
          <t>flat_pips</t>
        </is>
      </c>
      <c r="H30" s="2" t="n">
        <v>25</v>
      </c>
      <c r="I30" s="4" t="n"/>
      <c r="J30" s="5">
        <f>IF(I30="","",I30/H30)</f>
        <v/>
      </c>
      <c r="K30" s="5" t="n">
        <v>0.43</v>
      </c>
      <c r="L30" s="5" t="n">
        <v>1.18</v>
      </c>
      <c r="M30" s="6" t="n">
        <v>33</v>
      </c>
      <c r="N30" s="3" t="inlineStr">
        <is>
          <t>Normal</t>
        </is>
      </c>
      <c r="O30" s="4" t="inlineStr"/>
      <c r="P30" s="7" t="inlineStr"/>
      <c r="Q30" s="3" t="inlineStr">
        <is>
          <t>Cards scored in a marked row or column score +{flat_pips} pips</t>
        </is>
      </c>
      <c r="R30" s="2" t="inlineStr">
        <is>
          <t>pips, position</t>
        </is>
      </c>
    </row>
    <row r="31">
      <c r="A31" s="2" t="n">
        <v>24</v>
      </c>
      <c r="B31" s="2" t="inlineStr">
        <is>
          <t>Power Line</t>
        </is>
      </c>
      <c r="C31" s="2" t="inlineStr">
        <is>
          <t>rowcol_mult</t>
        </is>
      </c>
      <c r="D31" s="2" t="inlineStr">
        <is>
          <t>common</t>
        </is>
      </c>
      <c r="E31" s="2" t="inlineStr">
        <is>
          <t>Position</t>
        </is>
      </c>
      <c r="F31" s="3" t="inlineStr">
        <is>
          <t>Cards scored in a marked row or column score +15 mult</t>
        </is>
      </c>
      <c r="G31" s="2" t="inlineStr">
        <is>
          <t>mult</t>
        </is>
      </c>
      <c r="H31" s="2" t="n">
        <v>15</v>
      </c>
      <c r="I31" s="4" t="n"/>
      <c r="J31" s="5">
        <f>IF(I31="","",I31/H31)</f>
        <v/>
      </c>
      <c r="K31" s="5" t="n">
        <v>1.07</v>
      </c>
      <c r="L31" s="5" t="n">
        <v>1.46</v>
      </c>
      <c r="M31" s="6" t="n">
        <v>54</v>
      </c>
      <c r="N31" s="3" t="inlineStr">
        <is>
          <t>Normal</t>
        </is>
      </c>
      <c r="O31" s="4" t="inlineStr"/>
      <c r="P31" s="7" t="inlineStr"/>
      <c r="Q31" s="3" t="inlineStr">
        <is>
          <t>Cards scored in a marked row or column score +{mult} mult</t>
        </is>
      </c>
      <c r="R31" s="2" t="inlineStr">
        <is>
          <t>mult, position</t>
        </is>
      </c>
    </row>
    <row r="32">
      <c r="A32" s="2" t="n">
        <v>25</v>
      </c>
      <c r="B32" s="2" t="inlineStr">
        <is>
          <t>On the Edge</t>
        </is>
      </c>
      <c r="C32" s="2" t="inlineStr">
        <is>
          <t>edge_pips</t>
        </is>
      </c>
      <c r="D32" s="2" t="inlineStr">
        <is>
          <t>common</t>
        </is>
      </c>
      <c r="E32" s="2" t="inlineStr">
        <is>
          <t>Position</t>
        </is>
      </c>
      <c r="F32" s="3" t="inlineStr">
        <is>
          <t>Cards scored on an edge score +15 pips</t>
        </is>
      </c>
      <c r="G32" s="2" t="inlineStr">
        <is>
          <t>pips_per_card</t>
        </is>
      </c>
      <c r="H32" s="2" t="n">
        <v>15</v>
      </c>
      <c r="I32" s="4" t="n"/>
      <c r="J32" s="5">
        <f>IF(I32="","",I32/H32)</f>
        <v/>
      </c>
      <c r="K32" s="5" t="n">
        <v>1.94</v>
      </c>
      <c r="L32" s="5" t="n">
        <v>1.82</v>
      </c>
      <c r="M32" s="6" t="n">
        <v>76</v>
      </c>
      <c r="N32" s="3" t="inlineStr">
        <is>
          <t>High</t>
        </is>
      </c>
      <c r="O32" s="4" t="inlineStr"/>
      <c r="P32" s="7" t="inlineStr"/>
      <c r="Q32" s="3" t="inlineStr">
        <is>
          <t>Cards scored on an edge score +{pips_per_card} pips</t>
        </is>
      </c>
      <c r="R32" s="2" t="inlineStr">
        <is>
          <t>position, pips</t>
        </is>
      </c>
    </row>
    <row r="33">
      <c r="A33" s="2" t="n">
        <v>26</v>
      </c>
      <c r="B33" s="2" t="inlineStr">
        <is>
          <t>Middle Management</t>
        </is>
      </c>
      <c r="C33" s="2" t="inlineStr">
        <is>
          <t>fours_perm</t>
        </is>
      </c>
      <c r="D33" s="2" t="inlineStr">
        <is>
          <t>common</t>
        </is>
      </c>
      <c r="E33" s="2" t="inlineStr">
        <is>
          <t>Accumulating</t>
        </is>
      </c>
      <c r="F33" s="3" t="inlineStr">
        <is>
          <t>4-card hands permanently give the 4th card +8 pips</t>
        </is>
      </c>
      <c r="G33" s="2" t="inlineStr">
        <is>
          <t>pips</t>
        </is>
      </c>
      <c r="H33" s="2" t="n">
        <v>8</v>
      </c>
      <c r="I33" s="4" t="n"/>
      <c r="J33" s="5">
        <f>IF(I33="","",I33/H33)</f>
        <v/>
      </c>
      <c r="K33" s="5" t="n">
        <v>0.31</v>
      </c>
      <c r="L33" s="5" t="n">
        <v>1.13</v>
      </c>
      <c r="M33" s="6" t="n">
        <v>48</v>
      </c>
      <c r="N33" s="3" t="inlineStr">
        <is>
          <t>Low</t>
        </is>
      </c>
      <c r="O33" s="4" t="inlineStr"/>
      <c r="P33" s="7" t="inlineStr"/>
      <c r="Q33" s="3" t="inlineStr">
        <is>
          <t>4-card hands permanently give the 4th card +{pips} pips</t>
        </is>
      </c>
      <c r="R33" s="2" t="inlineStr">
        <is>
          <t>scaling, pips, value</t>
        </is>
      </c>
    </row>
    <row r="34">
      <c r="A34" s="2" t="n">
        <v>27</v>
      </c>
      <c r="B34" s="2" t="inlineStr">
        <is>
          <t>Compost</t>
        </is>
      </c>
      <c r="C34" s="2" t="inlineStr">
        <is>
          <t>discard_pips</t>
        </is>
      </c>
      <c r="D34" s="2" t="inlineStr">
        <is>
          <t>common</t>
        </is>
      </c>
      <c r="E34" s="2" t="inlineStr">
        <is>
          <t>Situational</t>
        </is>
      </c>
      <c r="F34" s="3" t="inlineStr">
        <is>
          <t>+4 mult per card discarded this round</t>
        </is>
      </c>
      <c r="G34" s="2" t="inlineStr">
        <is>
          <t>mult_per</t>
        </is>
      </c>
      <c r="H34" s="2" t="n">
        <v>4</v>
      </c>
      <c r="I34" s="4" t="n"/>
      <c r="J34" s="5">
        <f>IF(I34="","",I34/H34)</f>
        <v/>
      </c>
      <c r="K34" s="5" t="n">
        <v>0.66</v>
      </c>
      <c r="L34" s="5" t="n">
        <v>1.28</v>
      </c>
      <c r="M34" s="6" t="n">
        <v>29</v>
      </c>
      <c r="N34" s="3" t="inlineStr">
        <is>
          <t>Low</t>
        </is>
      </c>
      <c r="O34" s="4" t="inlineStr"/>
      <c r="P34" s="7" t="inlineStr"/>
      <c r="Q34" s="3" t="inlineStr">
        <is>
          <t>+{mult_per} mult per card discarded this round</t>
        </is>
      </c>
      <c r="R34" s="2" t="inlineStr">
        <is>
          <t>pips, discard</t>
        </is>
      </c>
    </row>
    <row r="35">
      <c r="A35" s="2" t="n">
        <v>28</v>
      </c>
      <c r="B35" s="2" t="inlineStr">
        <is>
          <t>Combo Score</t>
        </is>
      </c>
      <c r="C35" s="2" t="inlineStr">
        <is>
          <t>combo_score</t>
        </is>
      </c>
      <c r="D35" s="2" t="inlineStr">
        <is>
          <t>common</t>
        </is>
      </c>
      <c r="E35" s="2" t="inlineStr">
        <is>
          <t>Variety</t>
        </is>
      </c>
      <c r="F35" s="3" t="inlineStr">
        <is>
          <t>+6 mult for every distinct hand type played this round</t>
        </is>
      </c>
      <c r="G35" s="2" t="inlineStr">
        <is>
          <t>mult_per_type</t>
        </is>
      </c>
      <c r="H35" s="2" t="n">
        <v>6</v>
      </c>
      <c r="I35" s="4" t="n"/>
      <c r="J35" s="5">
        <f>IF(I35="","",I35/H35)</f>
        <v/>
      </c>
      <c r="K35" s="5" t="n">
        <v>3.19</v>
      </c>
      <c r="L35" s="5" t="n">
        <v>2.35</v>
      </c>
      <c r="M35" s="6" t="n">
        <v>84</v>
      </c>
      <c r="N35" s="3" t="inlineStr">
        <is>
          <t>Outlier</t>
        </is>
      </c>
      <c r="O35" s="4" t="inlineStr"/>
      <c r="P35" s="7" t="inlineStr"/>
      <c r="Q35" s="3" t="inlineStr">
        <is>
          <t>+{mult_per_type} mult for every distinct hand type played this round</t>
        </is>
      </c>
      <c r="R35" s="2" t="inlineStr"/>
    </row>
    <row r="36">
      <c r="A36" s="2" t="n">
        <v>29</v>
      </c>
      <c r="B36" s="2" t="inlineStr">
        <is>
          <t>More Better</t>
        </is>
      </c>
      <c r="C36" s="2" t="inlineStr">
        <is>
          <t>more_better</t>
        </is>
      </c>
      <c r="D36" s="2" t="inlineStr">
        <is>
          <t>common</t>
        </is>
      </c>
      <c r="E36" s="2" t="inlineStr">
        <is>
          <t>Accumulating</t>
        </is>
      </c>
      <c r="F36" s="3" t="inlineStr">
        <is>
          <t>Each reward grid where you select 3+ tiles permanently adds +9 mult to this trick</t>
        </is>
      </c>
      <c r="G36" s="2" t="inlineStr">
        <is>
          <t>mult</t>
        </is>
      </c>
      <c r="H36" s="2" t="n">
        <v>9</v>
      </c>
      <c r="I36" s="4" t="n"/>
      <c r="J36" s="5">
        <f>IF(I36="","",I36/H36)</f>
        <v/>
      </c>
      <c r="K36" s="5" t="n"/>
      <c r="L36" s="5" t="n"/>
      <c r="M36" s="2" t="n"/>
      <c r="N36" s="3" t="inlineStr"/>
      <c r="O36" s="4" t="inlineStr"/>
      <c r="P36" s="7" t="inlineStr"/>
      <c r="Q36" s="3" t="inlineStr">
        <is>
          <t>Each reward grid where you select {min_tiles}+ tiles permanently adds +{mult} mult to this trick</t>
        </is>
      </c>
      <c r="R36" s="2" t="inlineStr">
        <is>
          <t>mult, scaling</t>
        </is>
      </c>
    </row>
    <row r="37">
      <c r="A37" s="8" t="n"/>
      <c r="B37" s="8" t="inlineStr"/>
      <c r="C37" s="8" t="inlineStr"/>
      <c r="D37" s="8" t="inlineStr"/>
      <c r="E37" s="8" t="inlineStr"/>
      <c r="F37" s="9" t="inlineStr"/>
      <c r="G37" s="8" t="inlineStr">
        <is>
          <t>min_tiles</t>
        </is>
      </c>
      <c r="H37" s="8" t="n">
        <v>3</v>
      </c>
      <c r="I37" s="4" t="n"/>
      <c r="J37" s="10">
        <f>IF(I37="","",I37/H37)</f>
        <v/>
      </c>
      <c r="K37" s="10" t="n"/>
      <c r="L37" s="10" t="n"/>
      <c r="M37" s="8" t="n"/>
      <c r="N37" s="9" t="inlineStr"/>
      <c r="O37" s="4" t="inlineStr"/>
      <c r="P37" s="7" t="inlineStr"/>
      <c r="Q37" s="9" t="inlineStr"/>
      <c r="R37" s="8" t="inlineStr"/>
    </row>
    <row r="38">
      <c r="A38" s="2" t="n">
        <v>30</v>
      </c>
      <c r="B38" s="2" t="inlineStr">
        <is>
          <t>Tunnel Vision</t>
        </is>
      </c>
      <c r="C38" s="2" t="inlineStr">
        <is>
          <t>tunnel_vision</t>
        </is>
      </c>
      <c r="D38" s="2" t="inlineStr">
        <is>
          <t>common</t>
        </is>
      </c>
      <c r="E38" s="2" t="inlineStr">
        <is>
          <t>Focus</t>
        </is>
      </c>
      <c r="F38" s="3" t="inlineStr">
        <is>
          <t>Start each round with 10 Focus</t>
        </is>
      </c>
      <c r="G38" s="2" t="inlineStr">
        <is>
          <t>focus</t>
        </is>
      </c>
      <c r="H38" s="2" t="n">
        <v>10</v>
      </c>
      <c r="I38" s="4" t="n"/>
      <c r="J38" s="5">
        <f>IF(I38="","",I38/H38)</f>
        <v/>
      </c>
      <c r="K38" s="5" t="n"/>
      <c r="L38" s="5" t="n">
        <v>1</v>
      </c>
      <c r="M38" s="6" t="n">
        <v>0</v>
      </c>
      <c r="N38" s="3" t="inlineStr">
        <is>
          <t>pays in Focus</t>
        </is>
      </c>
      <c r="O38" s="4" t="inlineStr"/>
      <c r="P38" s="7" t="inlineStr"/>
      <c r="Q38" s="3" t="inlineStr">
        <is>
          <t>Start each round with {focus} Focus</t>
        </is>
      </c>
      <c r="R38" s="2" t="inlineStr">
        <is>
          <t>focus</t>
        </is>
      </c>
    </row>
    <row r="39">
      <c r="A39" s="2" t="n">
        <v>31</v>
      </c>
      <c r="B39" s="2" t="inlineStr">
        <is>
          <t>First Wind</t>
        </is>
      </c>
      <c r="C39" s="2" t="inlineStr">
        <is>
          <t>first_wind</t>
        </is>
      </c>
      <c r="D39" s="2" t="inlineStr">
        <is>
          <t>common</t>
        </is>
      </c>
      <c r="E39" s="2" t="inlineStr">
        <is>
          <t>Focus</t>
        </is>
      </c>
      <c r="F39" s="3" t="inlineStr">
        <is>
          <t>Focus does not decay for the first 45 seconds of a round</t>
        </is>
      </c>
      <c r="G39" s="2" t="inlineStr">
        <is>
          <t>(in code, no BAL number)</t>
        </is>
      </c>
      <c r="H39" s="2" t="n"/>
      <c r="I39" s="4" t="n"/>
      <c r="J39" s="5" t="n"/>
      <c r="K39" s="5" t="n"/>
      <c r="L39" s="5" t="n"/>
      <c r="M39" s="2" t="n"/>
      <c r="N39" s="3" t="inlineStr"/>
      <c r="O39" s="4" t="inlineStr"/>
      <c r="P39" s="7" t="inlineStr"/>
      <c r="Q39" s="3" t="inlineStr"/>
      <c r="R39" s="2" t="inlineStr">
        <is>
          <t>focus</t>
        </is>
      </c>
    </row>
    <row r="40">
      <c r="A40" s="2" t="n">
        <v>32</v>
      </c>
      <c r="B40" s="2" t="inlineStr">
        <is>
          <t>Rhythm</t>
        </is>
      </c>
      <c r="C40" s="2" t="inlineStr">
        <is>
          <t>rhythm</t>
        </is>
      </c>
      <c r="D40" s="2" t="inlineStr">
        <is>
          <t>common</t>
        </is>
      </c>
      <c r="E40" s="2" t="inlineStr">
        <is>
          <t>Focus</t>
        </is>
      </c>
      <c r="F40" s="3" t="inlineStr">
        <is>
          <t>Each hand played adds 2 additional Focus</t>
        </is>
      </c>
      <c r="G40" s="2" t="inlineStr">
        <is>
          <t>focus</t>
        </is>
      </c>
      <c r="H40" s="2" t="n">
        <v>2</v>
      </c>
      <c r="I40" s="4" t="n"/>
      <c r="J40" s="5">
        <f>IF(I40="","",I40/H40)</f>
        <v/>
      </c>
      <c r="K40" s="5" t="n"/>
      <c r="L40" s="5" t="n">
        <v>1</v>
      </c>
      <c r="M40" s="6" t="n">
        <v>0</v>
      </c>
      <c r="N40" s="3" t="inlineStr">
        <is>
          <t>pays in Focus</t>
        </is>
      </c>
      <c r="O40" s="4" t="inlineStr"/>
      <c r="P40" s="7" t="inlineStr"/>
      <c r="Q40" s="3" t="inlineStr">
        <is>
          <t>Each hand played adds {focus} additional Focus</t>
        </is>
      </c>
      <c r="R40" s="2" t="inlineStr">
        <is>
          <t>focus</t>
        </is>
      </c>
    </row>
    <row r="41">
      <c r="A41" s="2" t="n">
        <v>33</v>
      </c>
      <c r="B41" s="2" t="inlineStr">
        <is>
          <t>Cull</t>
        </is>
      </c>
      <c r="C41" s="2" t="inlineStr">
        <is>
          <t>cull</t>
        </is>
      </c>
      <c r="D41" s="2" t="inlineStr">
        <is>
          <t>common</t>
        </is>
      </c>
      <c r="E41" s="2" t="inlineStr">
        <is>
          <t>Focus</t>
        </is>
      </c>
      <c r="F41" s="3" t="inlineStr">
        <is>
          <t>Discarding or swapping adds +2 Focus per 2 remaining swaps and discards</t>
        </is>
      </c>
      <c r="G41" s="2" t="inlineStr">
        <is>
          <t>focus_per_stock</t>
        </is>
      </c>
      <c r="H41" s="2" t="n">
        <v>2</v>
      </c>
      <c r="I41" s="4" t="n"/>
      <c r="J41" s="5">
        <f>IF(I41="","",I41/H41)</f>
        <v/>
      </c>
      <c r="K41" s="5" t="n"/>
      <c r="L41" s="5" t="n">
        <v>1</v>
      </c>
      <c r="M41" s="6" t="n">
        <v>3</v>
      </c>
      <c r="N41" s="3" t="inlineStr">
        <is>
          <t>pays in Focus</t>
        </is>
      </c>
      <c r="O41" s="4" t="inlineStr"/>
      <c r="P41" s="7" t="inlineStr"/>
      <c r="Q41" s="3" t="inlineStr">
        <is>
          <t>Discarding or swapping adds +{focus_per_stock} Focus per {per} remaining swaps and discards</t>
        </is>
      </c>
      <c r="R41" s="2" t="inlineStr">
        <is>
          <t>focus</t>
        </is>
      </c>
    </row>
    <row r="42">
      <c r="A42" s="8" t="n"/>
      <c r="B42" s="8" t="inlineStr"/>
      <c r="C42" s="8" t="inlineStr"/>
      <c r="D42" s="8" t="inlineStr"/>
      <c r="E42" s="8" t="inlineStr"/>
      <c r="F42" s="9" t="inlineStr"/>
      <c r="G42" s="8" t="inlineStr">
        <is>
          <t>per</t>
        </is>
      </c>
      <c r="H42" s="8" t="n">
        <v>2</v>
      </c>
      <c r="I42" s="4" t="n"/>
      <c r="J42" s="10">
        <f>IF(I42="","",I42/H42)</f>
        <v/>
      </c>
      <c r="K42" s="10" t="n"/>
      <c r="L42" s="10" t="n"/>
      <c r="M42" s="8" t="n"/>
      <c r="N42" s="9" t="inlineStr"/>
      <c r="O42" s="4" t="inlineStr"/>
      <c r="P42" s="7" t="inlineStr"/>
      <c r="Q42" s="9" t="inlineStr"/>
      <c r="R42" s="8" t="inlineStr"/>
    </row>
    <row r="43">
      <c r="A43" s="2" t="n">
        <v>34</v>
      </c>
      <c r="B43" s="2" t="inlineStr">
        <is>
          <t>Expanse</t>
        </is>
      </c>
      <c r="C43" s="2" t="inlineStr">
        <is>
          <t>expanse</t>
        </is>
      </c>
      <c r="D43" s="2" t="inlineStr">
        <is>
          <t>common</t>
        </is>
      </c>
      <c r="E43" s="2" t="inlineStr">
        <is>
          <t>Focus</t>
        </is>
      </c>
      <c r="F43" s="3" t="inlineStr">
        <is>
          <t>Each time you hit your Focus limit, increase it by 1 (max +10), then lose half your Focus</t>
        </is>
      </c>
      <c r="G43" s="2" t="inlineStr">
        <is>
          <t>cap_gain</t>
        </is>
      </c>
      <c r="H43" s="2" t="n">
        <v>1</v>
      </c>
      <c r="I43" s="4" t="n"/>
      <c r="J43" s="5">
        <f>IF(I43="","",I43/H43)</f>
        <v/>
      </c>
      <c r="K43" s="5" t="n"/>
      <c r="L43" s="5" t="n">
        <v>1</v>
      </c>
      <c r="M43" s="6" t="n">
        <v>0</v>
      </c>
      <c r="N43" s="3" t="inlineStr">
        <is>
          <t>pays in Focus</t>
        </is>
      </c>
      <c r="O43" s="4" t="inlineStr"/>
      <c r="P43" s="7" t="inlineStr"/>
      <c r="Q43" s="3" t="inlineStr"/>
      <c r="R43" s="2" t="inlineStr">
        <is>
          <t>focus</t>
        </is>
      </c>
    </row>
    <row r="44">
      <c r="A44" s="8" t="n"/>
      <c r="B44" s="8" t="inlineStr"/>
      <c r="C44" s="8" t="inlineStr"/>
      <c r="D44" s="8" t="inlineStr"/>
      <c r="E44" s="8" t="inlineStr"/>
      <c r="F44" s="9" t="inlineStr"/>
      <c r="G44" s="8" t="inlineStr">
        <is>
          <t>cap</t>
        </is>
      </c>
      <c r="H44" s="8" t="n">
        <v>10</v>
      </c>
      <c r="I44" s="4" t="n"/>
      <c r="J44" s="10">
        <f>IF(I44="","",I44/H44)</f>
        <v/>
      </c>
      <c r="K44" s="10" t="n"/>
      <c r="L44" s="10" t="n"/>
      <c r="M44" s="8" t="n"/>
      <c r="N44" s="9" t="inlineStr"/>
      <c r="O44" s="4" t="inlineStr"/>
      <c r="P44" s="7" t="inlineStr"/>
      <c r="Q44" s="9" t="inlineStr"/>
      <c r="R44" s="8" t="inlineStr"/>
    </row>
    <row r="45">
      <c r="A45" s="8" t="n"/>
      <c r="B45" s="8" t="inlineStr"/>
      <c r="C45" s="8" t="inlineStr"/>
      <c r="D45" s="8" t="inlineStr"/>
      <c r="E45" s="8" t="inlineStr"/>
      <c r="F45" s="9" t="inlineStr"/>
      <c r="G45" s="8" t="inlineStr">
        <is>
          <t>keep_fraction</t>
        </is>
      </c>
      <c r="H45" s="8" t="n">
        <v>0.5</v>
      </c>
      <c r="I45" s="4" t="n"/>
      <c r="J45" s="10">
        <f>IF(I45="","",I45/H45)</f>
        <v/>
      </c>
      <c r="K45" s="10" t="n"/>
      <c r="L45" s="10" t="n"/>
      <c r="M45" s="8" t="n"/>
      <c r="N45" s="9" t="inlineStr"/>
      <c r="O45" s="4" t="inlineStr"/>
      <c r="P45" s="7" t="inlineStr"/>
      <c r="Q45" s="9" t="inlineStr"/>
      <c r="R45" s="8" t="inlineStr"/>
    </row>
    <row r="46">
      <c r="A46" s="2" t="n">
        <v>35</v>
      </c>
      <c r="B46" s="2" t="inlineStr">
        <is>
          <t>Magician</t>
        </is>
      </c>
      <c r="C46" s="2" t="inlineStr">
        <is>
          <t>magician</t>
        </is>
      </c>
      <c r="D46" s="2" t="inlineStr">
        <is>
          <t>common</t>
        </is>
      </c>
      <c r="E46" s="2" t="inlineStr">
        <is>
          <t>Sleights</t>
        </is>
      </c>
      <c r="F46" s="3" t="inlineStr">
        <is>
          <t>+50 pips if this is your only Trick, or +6 mult for each Sleight you own</t>
        </is>
      </c>
      <c r="G46" s="2" t="inlineStr">
        <is>
          <t>mult_per_sleight</t>
        </is>
      </c>
      <c r="H46" s="2" t="n">
        <v>6</v>
      </c>
      <c r="I46" s="4" t="n"/>
      <c r="J46" s="5">
        <f>IF(I46="","",I46/H46)</f>
        <v/>
      </c>
      <c r="K46" s="5" t="n">
        <v>2.68</v>
      </c>
      <c r="L46" s="5" t="n">
        <v>2.14</v>
      </c>
      <c r="M46" s="6" t="n">
        <v>100</v>
      </c>
      <c r="N46" s="3" t="inlineStr">
        <is>
          <t>High</t>
        </is>
      </c>
      <c r="O46" s="4" t="inlineStr"/>
      <c r="P46" s="7" t="inlineStr"/>
      <c r="Q46" s="3" t="inlineStr">
        <is>
          <t>+{solo_pips} pips if this is your only Trick, or +{mult_per_sleight} mult for each Sleight you own</t>
        </is>
      </c>
      <c r="R46" s="2" t="inlineStr">
        <is>
          <t>sleight, mult</t>
        </is>
      </c>
    </row>
    <row r="47">
      <c r="A47" s="8" t="n"/>
      <c r="B47" s="8" t="inlineStr"/>
      <c r="C47" s="8" t="inlineStr"/>
      <c r="D47" s="8" t="inlineStr"/>
      <c r="E47" s="8" t="inlineStr"/>
      <c r="F47" s="9" t="inlineStr"/>
      <c r="G47" s="8" t="inlineStr">
        <is>
          <t>solo_pips</t>
        </is>
      </c>
      <c r="H47" s="8" t="n">
        <v>50</v>
      </c>
      <c r="I47" s="4" t="n"/>
      <c r="J47" s="10">
        <f>IF(I47="","",I47/H47)</f>
        <v/>
      </c>
      <c r="K47" s="10" t="n"/>
      <c r="L47" s="10" t="n"/>
      <c r="M47" s="8" t="n"/>
      <c r="N47" s="9" t="inlineStr"/>
      <c r="O47" s="4" t="inlineStr"/>
      <c r="P47" s="7" t="inlineStr"/>
      <c r="Q47" s="9" t="inlineStr"/>
      <c r="R47" s="8" t="inlineStr"/>
    </row>
    <row r="48">
      <c r="A48" s="2" t="n">
        <v>36</v>
      </c>
      <c r="B48" s="2" t="inlineStr">
        <is>
          <t>Five for Fodder</t>
        </is>
      </c>
      <c r="C48" s="2" t="inlineStr">
        <is>
          <t>five_fodder</t>
        </is>
      </c>
      <c r="D48" s="2" t="inlineStr">
        <is>
          <t>common</t>
        </is>
      </c>
      <c r="E48" s="2" t="inlineStr">
        <is>
          <t>5-card hands</t>
        </is>
      </c>
      <c r="F48" s="3" t="inlineStr">
        <is>
          <t>Discarding a valid hand grants the hand size in credits</t>
        </is>
      </c>
      <c r="G48" s="2" t="inlineStr">
        <is>
          <t>credits_per_card</t>
        </is>
      </c>
      <c r="H48" s="2" t="n">
        <v>1</v>
      </c>
      <c r="I48" s="4" t="n"/>
      <c r="J48" s="5">
        <f>IF(I48="","",I48/H48)</f>
        <v/>
      </c>
      <c r="K48" s="5" t="n"/>
      <c r="L48" s="5" t="n">
        <v>1</v>
      </c>
      <c r="M48" s="6" t="n">
        <v>0</v>
      </c>
      <c r="N48" s="3" t="inlineStr">
        <is>
          <t>pays in Credits / stock</t>
        </is>
      </c>
      <c r="O48" s="4" t="inlineStr"/>
      <c r="P48" s="7" t="inlineStr"/>
      <c r="Q48" s="3" t="inlineStr"/>
      <c r="R48" s="2" t="inlineStr">
        <is>
          <t>credits, discard</t>
        </is>
      </c>
    </row>
    <row r="49">
      <c r="A49" s="2" t="n">
        <v>37</v>
      </c>
      <c r="B49" s="2" t="inlineStr">
        <is>
          <t>Ready, Set, Go</t>
        </is>
      </c>
      <c r="C49" s="2" t="inlineStr">
        <is>
          <t>ready_set_go</t>
        </is>
      </c>
      <c r="D49" s="2" t="inlineStr">
        <is>
          <t>common</t>
        </is>
      </c>
      <c r="E49" s="2" t="inlineStr">
        <is>
          <t>3-card hands</t>
        </is>
      </c>
      <c r="F49" s="3" t="inlineStr">
        <is>
          <t>A 3-card hand containing a 3, 6 or 9 scores +18 mult</t>
        </is>
      </c>
      <c r="G49" s="2" t="inlineStr">
        <is>
          <t>mult</t>
        </is>
      </c>
      <c r="H49" s="2" t="n">
        <v>18</v>
      </c>
      <c r="I49" s="4" t="n"/>
      <c r="J49" s="5">
        <f>IF(I49="","",I49/H49)</f>
        <v/>
      </c>
      <c r="K49" s="5" t="n">
        <v>0.31</v>
      </c>
      <c r="L49" s="5" t="n">
        <v>1.13</v>
      </c>
      <c r="M49" s="6" t="n">
        <v>12</v>
      </c>
      <c r="N49" s="3" t="inlineStr">
        <is>
          <t>Low</t>
        </is>
      </c>
      <c r="O49" s="4" t="inlineStr"/>
      <c r="P49" s="7" t="inlineStr"/>
      <c r="Q49" s="3" t="inlineStr">
        <is>
          <t>A 3-card hand containing a 3, 6 or 9 scores +{mult} mult</t>
        </is>
      </c>
      <c r="R49" s="2" t="inlineStr">
        <is>
          <t>mult</t>
        </is>
      </c>
    </row>
    <row r="50">
      <c r="A50" s="2" t="n">
        <v>38</v>
      </c>
      <c r="B50" s="2" t="inlineStr">
        <is>
          <t>Four Eyes</t>
        </is>
      </c>
      <c r="C50" s="2" t="inlineStr">
        <is>
          <t>four_eyes</t>
        </is>
      </c>
      <c r="D50" s="2" t="inlineStr">
        <is>
          <t>common</t>
        </is>
      </c>
      <c r="E50" s="2" t="inlineStr">
        <is>
          <t>4-card hands</t>
        </is>
      </c>
      <c r="F50" s="3" t="inlineStr">
        <is>
          <t>4-card hands score +24 mult</t>
        </is>
      </c>
      <c r="G50" s="2" t="inlineStr">
        <is>
          <t>mult</t>
        </is>
      </c>
      <c r="H50" s="2" t="n">
        <v>24</v>
      </c>
      <c r="I50" s="4" t="n"/>
      <c r="J50" s="5">
        <f>IF(I50="","",I50/H50)</f>
        <v/>
      </c>
      <c r="K50" s="5" t="n">
        <v>0.8</v>
      </c>
      <c r="L50" s="5" t="n">
        <v>1.34</v>
      </c>
      <c r="M50" s="6" t="n">
        <v>26</v>
      </c>
      <c r="N50" s="3" t="inlineStr">
        <is>
          <t>Normal</t>
        </is>
      </c>
      <c r="O50" s="4" t="inlineStr"/>
      <c r="P50" s="7" t="inlineStr"/>
      <c r="Q50" s="3" t="inlineStr">
        <is>
          <t>4-card hands score +{mult} mult</t>
        </is>
      </c>
      <c r="R50" s="2" t="inlineStr">
        <is>
          <t>mult</t>
        </is>
      </c>
    </row>
    <row r="51">
      <c r="A51" s="2" t="n">
        <v>39</v>
      </c>
      <c r="B51" s="2" t="inlineStr">
        <is>
          <t>4x4</t>
        </is>
      </c>
      <c r="C51" s="2" t="inlineStr">
        <is>
          <t>four_by_four</t>
        </is>
      </c>
      <c r="D51" s="2" t="inlineStr">
        <is>
          <t>common</t>
        </is>
      </c>
      <c r="E51" s="2" t="inlineStr">
        <is>
          <t>4-card hands</t>
        </is>
      </c>
      <c r="F51" s="3" t="inlineStr">
        <is>
          <t>Cards scored in the 4th and 6th columns score +24 pips</t>
        </is>
      </c>
      <c r="G51" s="2" t="inlineStr">
        <is>
          <t>pips</t>
        </is>
      </c>
      <c r="H51" s="2" t="n">
        <v>24</v>
      </c>
      <c r="I51" s="4" t="n"/>
      <c r="J51" s="5">
        <f>IF(I51="","",I51/H51)</f>
        <v/>
      </c>
      <c r="K51" s="5" t="n">
        <v>1.04</v>
      </c>
      <c r="L51" s="5" t="n">
        <v>1.44</v>
      </c>
      <c r="M51" s="6" t="n">
        <v>54</v>
      </c>
      <c r="N51" s="3" t="inlineStr">
        <is>
          <t>High</t>
        </is>
      </c>
      <c r="O51" s="4" t="inlineStr"/>
      <c r="P51" s="7" t="inlineStr"/>
      <c r="Q51" s="3" t="inlineStr">
        <is>
          <t>Cards scored in the 4th and 6th columns score +{pips} pips</t>
        </is>
      </c>
      <c r="R51" s="2" t="inlineStr">
        <is>
          <t>pips, position</t>
        </is>
      </c>
    </row>
    <row r="52">
      <c r="A52" s="2" t="n">
        <v>40</v>
      </c>
      <c r="B52" s="2" t="inlineStr">
        <is>
          <t>Encore</t>
        </is>
      </c>
      <c r="C52" s="2" t="inlineStr">
        <is>
          <t>encore</t>
        </is>
      </c>
      <c r="D52" s="2" t="inlineStr">
        <is>
          <t>common</t>
        </is>
      </c>
      <c r="E52" s="2" t="inlineStr">
        <is>
          <t>Pairs / sets</t>
        </is>
      </c>
      <c r="F52" s="3" t="inlineStr">
        <is>
          <t>Odd-ranked cards in a set replay once</t>
        </is>
      </c>
      <c r="G52" s="2" t="inlineStr">
        <is>
          <t>(in code, no BAL number)</t>
        </is>
      </c>
      <c r="H52" s="2" t="n"/>
      <c r="I52" s="4" t="n"/>
      <c r="J52" s="5" t="n"/>
      <c r="K52" s="5" t="n">
        <v>1.3</v>
      </c>
      <c r="L52" s="5" t="n">
        <v>1.46</v>
      </c>
      <c r="M52" s="6" t="n">
        <v>41</v>
      </c>
      <c r="N52" s="3" t="inlineStr">
        <is>
          <t>High</t>
        </is>
      </c>
      <c r="O52" s="4" t="inlineStr"/>
      <c r="P52" s="7" t="inlineStr"/>
      <c r="Q52" s="3" t="inlineStr"/>
      <c r="R52" s="2" t="inlineStr">
        <is>
          <t>replay, set</t>
        </is>
      </c>
    </row>
    <row r="53">
      <c r="A53" s="2" t="n">
        <v>41</v>
      </c>
      <c r="B53" s="2" t="inlineStr">
        <is>
          <t>Shaky Foundation</t>
        </is>
      </c>
      <c r="C53" s="2" t="inlineStr">
        <is>
          <t>shaky_foundation</t>
        </is>
      </c>
      <c r="D53" s="2" t="inlineStr">
        <is>
          <t>common</t>
        </is>
      </c>
      <c r="E53" s="2" t="inlineStr">
        <is>
          <t>Pairs / sets</t>
        </is>
      </c>
      <c r="F53" s="3" t="inlineStr">
        <is>
          <t>Every other Set scores +18 mult</t>
        </is>
      </c>
      <c r="G53" s="2" t="inlineStr">
        <is>
          <t>mult</t>
        </is>
      </c>
      <c r="H53" s="2" t="n">
        <v>18</v>
      </c>
      <c r="I53" s="4" t="n"/>
      <c r="J53" s="5">
        <f>IF(I53="","",I53/H53)</f>
        <v/>
      </c>
      <c r="K53" s="5" t="n">
        <v>1.57</v>
      </c>
      <c r="L53" s="5" t="n">
        <v>1.67</v>
      </c>
      <c r="M53" s="6" t="n">
        <v>28</v>
      </c>
      <c r="N53" s="3" t="inlineStr">
        <is>
          <t>High</t>
        </is>
      </c>
      <c r="O53" s="4" t="inlineStr"/>
      <c r="P53" s="7" t="inlineStr"/>
      <c r="Q53" s="3" t="inlineStr">
        <is>
          <t>Every other Set scores +{mult} mult</t>
        </is>
      </c>
      <c r="R53" s="2" t="inlineStr">
        <is>
          <t>mult, set</t>
        </is>
      </c>
    </row>
    <row r="54">
      <c r="A54" s="2" t="n">
        <v>42</v>
      </c>
      <c r="B54" s="2" t="inlineStr">
        <is>
          <t>Wave Amplification</t>
        </is>
      </c>
      <c r="C54" s="2" t="inlineStr">
        <is>
          <t>wave_amp</t>
        </is>
      </c>
      <c r="D54" s="2" t="inlineStr">
        <is>
          <t>common</t>
        </is>
      </c>
      <c r="E54" s="2" t="inlineStr">
        <is>
          <t>Runs</t>
        </is>
      </c>
      <c r="F54" s="3" t="inlineStr">
        <is>
          <t>Consecutively played Runs score +15 pips × the streak count</t>
        </is>
      </c>
      <c r="G54" s="2" t="inlineStr">
        <is>
          <t>pips_per_streak</t>
        </is>
      </c>
      <c r="H54" s="2" t="n">
        <v>15</v>
      </c>
      <c r="I54" s="4" t="n"/>
      <c r="J54" s="5">
        <f>IF(I54="","",I54/H54)</f>
        <v/>
      </c>
      <c r="K54" s="5" t="n">
        <v>0.41</v>
      </c>
      <c r="L54" s="5" t="n">
        <v>1.17</v>
      </c>
      <c r="M54" s="6" t="n">
        <v>38</v>
      </c>
      <c r="N54" s="3" t="inlineStr">
        <is>
          <t>Low</t>
        </is>
      </c>
      <c r="O54" s="4" t="inlineStr"/>
      <c r="P54" s="7" t="inlineStr"/>
      <c r="Q54" s="3" t="inlineStr">
        <is>
          <t>Consecutively played Runs score +{pips_per_streak} pips × the streak count</t>
        </is>
      </c>
      <c r="R54" s="2" t="inlineStr">
        <is>
          <t>pips, streak</t>
        </is>
      </c>
    </row>
  </sheetData>
  <autoFilter ref="A1:R54"/>
  <dataValidations count="1">
    <dataValidation sqref="O2:O54" showDropDown="0" showInputMessage="0" showErrorMessage="0" allowBlank="1" type="list">
      <formula1>"KEEP,UP,EDIT,CUT"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Trick balance sheet</t>
        </is>
      </c>
    </row>
    <row r="2">
      <c r="A2" s="12" t="inlineStr">
        <is>
          <t>Build: 2026-10-21 · r625 · The owner's epic Trick pass: numbers, 24 custom improvement ladders with hooks, Temporal Rift force-triggers, Move as One / Rain Check / Wait For Iiiit are Knacks</t>
        </is>
      </c>
    </row>
    <row r="3">
      <c r="A3" s="12" t="inlineStr">
        <is>
          <t>Tier: common · 42 Tricks</t>
        </is>
      </c>
    </row>
    <row r="4">
      <c r="A4" s="12" t="inlineStr"/>
    </row>
    <row r="5">
      <c r="A5" s="12" t="inlineStr">
        <is>
          <t>Yellow columns are yours. Everything else is read from the game as it ships.</t>
        </is>
      </c>
    </row>
    <row r="6">
      <c r="A6" s="12" t="inlineStr"/>
    </row>
    <row r="7">
      <c r="A7" s="11" t="inlineStr">
        <is>
          <t>Number / Now</t>
        </is>
      </c>
    </row>
    <row r="8">
      <c r="A8" s="12" t="inlineStr">
        <is>
          <t>The Trick's tunable in BAL (js/data/balance.js) and its shipped value. A Trick with two numbers has two rows. "(in code)" means the value is typed into the scoring code, not BAL: changing it is a code edit.</t>
        </is>
      </c>
    </row>
    <row r="9">
      <c r="A9" s="11" t="inlineStr">
        <is>
          <t>NEW VALUE / x factor</t>
        </is>
      </c>
    </row>
    <row r="10">
      <c r="A10" s="12" t="inlineStr">
        <is>
          <t>Type the new number. x factor works itself out (new / now). To scale the whole tier the same way, type the factor into a spare cell and set NEW VALUE to =H2*that.</t>
        </is>
      </c>
    </row>
    <row r="11">
      <c r="A11" s="11" t="inlineStr">
        <is>
          <t>Share of score</t>
        </is>
      </c>
    </row>
    <row r="12">
      <c r="A12" s="12" t="inlineStr">
        <is>
          <t>From the Trick audit sim (tools/sim/trick-audit.js, card ladder scoring, Flow level 12): how much of the score a random 5-Trick loadout owes to this Trick, as a multiple of the average Trick. 1.0 = an average Trick; 2.0 = twice the average; 0.3 = barely felt. Blank = the audit does not measure it (it pays in Focus, time or credits, or needs something the sim has no model of).</t>
        </is>
      </c>
    </row>
    <row r="13">
      <c r="A13" s="11" t="inlineStr">
        <is>
          <t>x on a hand</t>
        </is>
      </c>
    </row>
    <row r="14">
      <c r="A14" s="12" t="inlineStr">
        <is>
          <t>How much bigger a hand is with the Trick than without it, averaged over every hand the bot played (1.00 = no change). Fires % is the share of hands it paid on at all.</t>
        </is>
      </c>
    </row>
    <row r="15">
      <c r="A15" s="11" t="inlineStr">
        <is>
          <t>Verdict</t>
        </is>
      </c>
    </row>
    <row r="16">
      <c r="A16" s="12" t="inlineStr">
        <is>
          <t>KEEP / UP / EDIT / CUT. UP means "the number goes up, nothing else changes".</t>
        </is>
      </c>
    </row>
    <row r="17">
      <c r="A17" s="11" t="inlineStr">
        <is>
          <t>Trick tour</t>
        </is>
      </c>
    </row>
    <row r="18">
      <c r="A18" s="12" t="inlineStr">
        <is>
          <t>index.html?tricks opens the common Tricks one by one on a live board; its number boxes write the same BAL value, so a new number can be felt before it goes in the sheet. COPY ALL there prints old -&gt; new per Trick.</t>
        </is>
      </c>
    </row>
    <row r="19">
      <c r="A19" s="11" t="inlineStr">
        <is>
          <t>Applying the sheet</t>
        </is>
      </c>
    </row>
    <row r="20">
      <c r="A20" s="12" t="inlineStr">
        <is>
          <t>Hand the sheet back; the numbers go into js/data/balance.js (BAL) by id and key, the descriptions regenerate from DESC_TEMPLATES.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2026-10-21T18:51:09Z</dcterms:created>
  <dcterms:modified xmlns:dcterms="http://purl.org/dc/terms/" xmlns:xsi="http://www.w3.org/2001/XMLSchema-instance" xsi:type="dcterms:W3CDTF">2026-10-21T18:51:09Z</dcterms:modified>
</cp:coreProperties>
</file>